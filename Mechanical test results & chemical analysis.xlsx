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hv-my.sharepoint.com/personal/alimor_hv_se/Documents/WAAM_Ebrahim_Alireza/ML-Welded HSS/"/>
    </mc:Choice>
  </mc:AlternateContent>
  <xr:revisionPtr revIDLastSave="55" documentId="11_D7CC480ED00835EA048DA38227FD74935401B488" xr6:coauthVersionLast="47" xr6:coauthVersionMax="47" xr10:uidLastSave="{2F7FEE7A-E94E-4F02-A1DC-F9C8A5F5CA61}"/>
  <bookViews>
    <workbookView xWindow="-105" yWindow="0" windowWidth="26010" windowHeight="20985" tabRatio="721" firstSheet="1" activeTab="1" xr2:uid="{00000000-000D-0000-FFFF-FFFF00000000}"/>
  </bookViews>
  <sheets>
    <sheet name="Försöksmatris" sheetId="3" r:id="rId1"/>
    <sheet name="Chemical analysis &amp; CE" sheetId="1" r:id="rId2"/>
    <sheet name="Chemical analysis, Steel &amp; AWM" sheetId="5" r:id="rId3"/>
    <sheet name="Chemical analysis &amp; CE, welds" sheetId="11" r:id="rId4"/>
    <sheet name="Chem analysis, Steel &amp; AWM, CE" sheetId="6" r:id="rId5"/>
    <sheet name="C-equivalents" sheetId="2" r:id="rId6"/>
    <sheet name="Dilution, examples" sheetId="9" r:id="rId7"/>
    <sheet name="Dilution, summary" sheetId="10" r:id="rId8"/>
    <sheet name="Mecanical properties" sheetId="12" r:id="rId9"/>
    <sheet name="Sheet2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70" i="12" l="1"/>
  <c r="CD62" i="12"/>
  <c r="BX62" i="12"/>
  <c r="BR62" i="12"/>
  <c r="AL67" i="11"/>
  <c r="AM67" i="11"/>
  <c r="AN67" i="11"/>
  <c r="AO67" i="11"/>
  <c r="AQ61" i="1"/>
  <c r="AP61" i="1"/>
  <c r="AO61" i="1"/>
  <c r="AR61" i="1"/>
  <c r="AQ66" i="1"/>
  <c r="AP70" i="1"/>
  <c r="AP66" i="1"/>
  <c r="AP62" i="1"/>
  <c r="AL60" i="11" l="1"/>
  <c r="AM60" i="11"/>
  <c r="AN60" i="11"/>
  <c r="AO60" i="11"/>
  <c r="AO60" i="1"/>
  <c r="AP60" i="1"/>
  <c r="AQ60" i="1"/>
  <c r="AR60" i="1"/>
  <c r="AO62" i="1"/>
  <c r="AQ62" i="1"/>
  <c r="AR62" i="1"/>
  <c r="AY46" i="1" l="1"/>
  <c r="AY39" i="1"/>
  <c r="CP85" i="12" l="1"/>
  <c r="CP86" i="12"/>
  <c r="CP87" i="12"/>
  <c r="CJ85" i="12"/>
  <c r="CJ86" i="12"/>
  <c r="CJ87" i="12"/>
  <c r="CD85" i="12"/>
  <c r="CD86" i="12"/>
  <c r="CD87" i="12"/>
  <c r="BX85" i="12"/>
  <c r="BX86" i="12"/>
  <c r="BX87" i="12"/>
  <c r="BR85" i="12"/>
  <c r="BR86" i="12"/>
  <c r="BR87" i="12"/>
  <c r="BL85" i="12"/>
  <c r="BL86" i="12"/>
  <c r="BL87" i="12"/>
  <c r="BX10" i="12"/>
  <c r="BX9" i="12"/>
  <c r="BR71" i="12"/>
  <c r="CP61" i="12"/>
  <c r="CP64" i="12"/>
  <c r="CP65" i="12"/>
  <c r="CP66" i="12"/>
  <c r="CP67" i="12"/>
  <c r="CP68" i="12"/>
  <c r="CP69" i="12"/>
  <c r="CP70" i="12"/>
  <c r="CP71" i="12"/>
  <c r="CP73" i="12"/>
  <c r="CP74" i="12"/>
  <c r="CP76" i="12"/>
  <c r="CP77" i="12"/>
  <c r="CP78" i="12"/>
  <c r="CP79" i="12"/>
  <c r="CP84" i="12"/>
  <c r="CJ84" i="12"/>
  <c r="CD60" i="12"/>
  <c r="CD61" i="12"/>
  <c r="CD64" i="12"/>
  <c r="CD65" i="12"/>
  <c r="CD66" i="12"/>
  <c r="CD67" i="12"/>
  <c r="CD68" i="12"/>
  <c r="CD69" i="12"/>
  <c r="CD70" i="12"/>
  <c r="CD71" i="12"/>
  <c r="CD73" i="12"/>
  <c r="CD74" i="12"/>
  <c r="CD76" i="12"/>
  <c r="CD77" i="12"/>
  <c r="CD78" i="12"/>
  <c r="CD79" i="12"/>
  <c r="CD84" i="12"/>
  <c r="BX60" i="12"/>
  <c r="BX61" i="12"/>
  <c r="BX64" i="12"/>
  <c r="BX65" i="12"/>
  <c r="BX66" i="12"/>
  <c r="BX67" i="12"/>
  <c r="BX68" i="12"/>
  <c r="BX69" i="12"/>
  <c r="BX70" i="12"/>
  <c r="BX71" i="12"/>
  <c r="BX73" i="12"/>
  <c r="BX74" i="12"/>
  <c r="BX76" i="12"/>
  <c r="BX77" i="12"/>
  <c r="BX78" i="12"/>
  <c r="BX79" i="12"/>
  <c r="BX84" i="12"/>
  <c r="BR61" i="12"/>
  <c r="BR64" i="12"/>
  <c r="BR65" i="12"/>
  <c r="BR66" i="12"/>
  <c r="BR67" i="12"/>
  <c r="BR68" i="12"/>
  <c r="BR69" i="12"/>
  <c r="BR73" i="12"/>
  <c r="BR74" i="12"/>
  <c r="BR76" i="12"/>
  <c r="BR77" i="12"/>
  <c r="BR78" i="12"/>
  <c r="BR79" i="12"/>
  <c r="BR84" i="12"/>
  <c r="BL61" i="12"/>
  <c r="BL64" i="12"/>
  <c r="BL65" i="12"/>
  <c r="BL66" i="12"/>
  <c r="BL67" i="12"/>
  <c r="BL68" i="12"/>
  <c r="BL69" i="12"/>
  <c r="BL70" i="12"/>
  <c r="BL71" i="12"/>
  <c r="BL73" i="12"/>
  <c r="BL74" i="12"/>
  <c r="BL76" i="12"/>
  <c r="BL77" i="12"/>
  <c r="BL78" i="12"/>
  <c r="BL79" i="12"/>
  <c r="BL84" i="12"/>
  <c r="BR60" i="12"/>
  <c r="BL60" i="12"/>
  <c r="BR56" i="12"/>
  <c r="CP55" i="12"/>
  <c r="CP56" i="12"/>
  <c r="CP57" i="12"/>
  <c r="CP58" i="12"/>
  <c r="CP59" i="12"/>
  <c r="CP60" i="12"/>
  <c r="CD55" i="12"/>
  <c r="CD56" i="12"/>
  <c r="CD57" i="12"/>
  <c r="CD58" i="12"/>
  <c r="CD59" i="12"/>
  <c r="BX55" i="12"/>
  <c r="BX56" i="12"/>
  <c r="BX57" i="12"/>
  <c r="BX58" i="12"/>
  <c r="BX59" i="12"/>
  <c r="BR55" i="12"/>
  <c r="BR57" i="12"/>
  <c r="BR58" i="12"/>
  <c r="BR59" i="12"/>
  <c r="BL55" i="12"/>
  <c r="BL56" i="12"/>
  <c r="BL57" i="12"/>
  <c r="BL58" i="12"/>
  <c r="BL59" i="12"/>
  <c r="BX7" i="12" l="1"/>
  <c r="BX8" i="12"/>
  <c r="BX11" i="12"/>
  <c r="BX6" i="12"/>
  <c r="CP37" i="12"/>
  <c r="CP38" i="12"/>
  <c r="CD37" i="12"/>
  <c r="CD38" i="12"/>
  <c r="BX37" i="12"/>
  <c r="BX38" i="12"/>
  <c r="BR37" i="12"/>
  <c r="BR38" i="12"/>
  <c r="CP36" i="12"/>
  <c r="CD36" i="12"/>
  <c r="BX36" i="12"/>
  <c r="BR36" i="12"/>
  <c r="BL39" i="12"/>
  <c r="BL38" i="12"/>
  <c r="BL37" i="12"/>
  <c r="BL36" i="12"/>
  <c r="CP53" i="12" l="1"/>
  <c r="CD53" i="12"/>
  <c r="BX53" i="12"/>
  <c r="BR53" i="12"/>
  <c r="BL53" i="12"/>
  <c r="CP52" i="12"/>
  <c r="CD52" i="12"/>
  <c r="BX52" i="12"/>
  <c r="BR52" i="12"/>
  <c r="BL52" i="12"/>
  <c r="CP51" i="12"/>
  <c r="CD51" i="12"/>
  <c r="BX51" i="12"/>
  <c r="BR51" i="12"/>
  <c r="BL51" i="12"/>
  <c r="CP50" i="12"/>
  <c r="CD50" i="12"/>
  <c r="BX50" i="12"/>
  <c r="BR50" i="12"/>
  <c r="BL50" i="12"/>
  <c r="CP49" i="12"/>
  <c r="CD49" i="12"/>
  <c r="BX49" i="12"/>
  <c r="BR49" i="12"/>
  <c r="BL49" i="12"/>
  <c r="CP48" i="12"/>
  <c r="CD48" i="12"/>
  <c r="BX48" i="12"/>
  <c r="BR48" i="12"/>
  <c r="BL48" i="12"/>
  <c r="BL42" i="12"/>
  <c r="BR42" i="12"/>
  <c r="BX42" i="12"/>
  <c r="CD42" i="12"/>
  <c r="CP42" i="12"/>
  <c r="BL43" i="12"/>
  <c r="BR43" i="12"/>
  <c r="BX43" i="12"/>
  <c r="CD43" i="12"/>
  <c r="CP43" i="12"/>
  <c r="BL44" i="12"/>
  <c r="BR44" i="12"/>
  <c r="BX44" i="12"/>
  <c r="CD44" i="12"/>
  <c r="CP44" i="12"/>
  <c r="BL45" i="12"/>
  <c r="BR45" i="12"/>
  <c r="BX45" i="12"/>
  <c r="CD45" i="12"/>
  <c r="CP45" i="12"/>
  <c r="BL46" i="12"/>
  <c r="BR46" i="12"/>
  <c r="BX46" i="12"/>
  <c r="CD46" i="12"/>
  <c r="CP46" i="12"/>
  <c r="CP41" i="12"/>
  <c r="CD41" i="12"/>
  <c r="BX41" i="12"/>
  <c r="BR41" i="12"/>
  <c r="BL41" i="12"/>
  <c r="AP92" i="12" l="1"/>
  <c r="AO92" i="12"/>
  <c r="AN92" i="12"/>
  <c r="AM92" i="12"/>
  <c r="AP91" i="12"/>
  <c r="AO91" i="12"/>
  <c r="AN91" i="12"/>
  <c r="AM91" i="12"/>
  <c r="AP90" i="12"/>
  <c r="AO90" i="12"/>
  <c r="AN90" i="12"/>
  <c r="AM90" i="12"/>
  <c r="AP89" i="12"/>
  <c r="AO89" i="12"/>
  <c r="AN89" i="12"/>
  <c r="AM89" i="12"/>
  <c r="AP87" i="12"/>
  <c r="AO87" i="12"/>
  <c r="AN87" i="12"/>
  <c r="AM87" i="12"/>
  <c r="AP86" i="12"/>
  <c r="AO86" i="12"/>
  <c r="AN86" i="12"/>
  <c r="AM86" i="12"/>
  <c r="AP85" i="12"/>
  <c r="AO85" i="12"/>
  <c r="AN85" i="12"/>
  <c r="AM85" i="12"/>
  <c r="AP84" i="12"/>
  <c r="AO84" i="12"/>
  <c r="AN84" i="12"/>
  <c r="AM84" i="12"/>
  <c r="AP82" i="12"/>
  <c r="AO82" i="12"/>
  <c r="AN82" i="12"/>
  <c r="AM82" i="12"/>
  <c r="AP81" i="12"/>
  <c r="AO81" i="12"/>
  <c r="AN81" i="12"/>
  <c r="AM81" i="12"/>
  <c r="AP79" i="12"/>
  <c r="AO79" i="12"/>
  <c r="AN79" i="12"/>
  <c r="AM79" i="12"/>
  <c r="AP78" i="12"/>
  <c r="AO78" i="12"/>
  <c r="AN78" i="12"/>
  <c r="AM78" i="12"/>
  <c r="AP77" i="12"/>
  <c r="AO77" i="12"/>
  <c r="AN77" i="12"/>
  <c r="AM77" i="12"/>
  <c r="AP76" i="12"/>
  <c r="AO76" i="12"/>
  <c r="AN76" i="12"/>
  <c r="AM76" i="12"/>
  <c r="AP74" i="12"/>
  <c r="AO74" i="12"/>
  <c r="AN74" i="12"/>
  <c r="AM74" i="12"/>
  <c r="AP73" i="12"/>
  <c r="AO73" i="12"/>
  <c r="AN73" i="12"/>
  <c r="AM73" i="12"/>
  <c r="AP71" i="12"/>
  <c r="AO71" i="12"/>
  <c r="AN71" i="12"/>
  <c r="AM71" i="12"/>
  <c r="AP70" i="12"/>
  <c r="AO70" i="12"/>
  <c r="AN70" i="12"/>
  <c r="AM70" i="12"/>
  <c r="AP69" i="12"/>
  <c r="AO69" i="12"/>
  <c r="AN69" i="12"/>
  <c r="AM69" i="12"/>
  <c r="AP68" i="12"/>
  <c r="AO68" i="12"/>
  <c r="AN68" i="12"/>
  <c r="AM68" i="12"/>
  <c r="AP67" i="12"/>
  <c r="AO67" i="12"/>
  <c r="AN67" i="12"/>
  <c r="AM67" i="12"/>
  <c r="AP66" i="12"/>
  <c r="AO66" i="12"/>
  <c r="AN66" i="12"/>
  <c r="AM66" i="12"/>
  <c r="AP65" i="12"/>
  <c r="AO65" i="12"/>
  <c r="AN65" i="12"/>
  <c r="AM65" i="12"/>
  <c r="AP64" i="12"/>
  <c r="AO64" i="12"/>
  <c r="AN64" i="12"/>
  <c r="AM64" i="12"/>
  <c r="AP59" i="12"/>
  <c r="AO59" i="12"/>
  <c r="AN59" i="12"/>
  <c r="AM59" i="12"/>
  <c r="AP58" i="12"/>
  <c r="AO58" i="12"/>
  <c r="AN58" i="12"/>
  <c r="AM58" i="12"/>
  <c r="AP57" i="12"/>
  <c r="AO57" i="12"/>
  <c r="AN57" i="12"/>
  <c r="AM57" i="12"/>
  <c r="AP56" i="12"/>
  <c r="AO56" i="12"/>
  <c r="AN56" i="12"/>
  <c r="AM56" i="12"/>
  <c r="AP55" i="12"/>
  <c r="AO55" i="12"/>
  <c r="AN55" i="12"/>
  <c r="AM55" i="12"/>
  <c r="AP53" i="12"/>
  <c r="AO53" i="12"/>
  <c r="AN53" i="12"/>
  <c r="AM53" i="12"/>
  <c r="AP52" i="12"/>
  <c r="AO52" i="12"/>
  <c r="AN52" i="12"/>
  <c r="AM52" i="12"/>
  <c r="AP51" i="12"/>
  <c r="AO51" i="12"/>
  <c r="AN51" i="12"/>
  <c r="AM51" i="12"/>
  <c r="AP50" i="12"/>
  <c r="AO50" i="12"/>
  <c r="AN50" i="12"/>
  <c r="AM50" i="12"/>
  <c r="AP49" i="12"/>
  <c r="AO49" i="12"/>
  <c r="AN49" i="12"/>
  <c r="AM49" i="12"/>
  <c r="AP48" i="12"/>
  <c r="AO48" i="12"/>
  <c r="AN48" i="12"/>
  <c r="AM48" i="12"/>
  <c r="AP46" i="12"/>
  <c r="AO46" i="12"/>
  <c r="AN46" i="12"/>
  <c r="AM46" i="12"/>
  <c r="AP45" i="12"/>
  <c r="AO45" i="12"/>
  <c r="AN45" i="12"/>
  <c r="AM45" i="12"/>
  <c r="AP44" i="12"/>
  <c r="AO44" i="12"/>
  <c r="AN44" i="12"/>
  <c r="AM44" i="12"/>
  <c r="AP43" i="12"/>
  <c r="AO43" i="12"/>
  <c r="AN43" i="12"/>
  <c r="AM43" i="12"/>
  <c r="AP42" i="12"/>
  <c r="AO42" i="12"/>
  <c r="AN42" i="12"/>
  <c r="AM42" i="12"/>
  <c r="AP41" i="12"/>
  <c r="AO41" i="12"/>
  <c r="AN41" i="12"/>
  <c r="AM41" i="12"/>
  <c r="AP39" i="12"/>
  <c r="AO39" i="12"/>
  <c r="AN39" i="12"/>
  <c r="AM39" i="12"/>
  <c r="AP38" i="12"/>
  <c r="AO38" i="12"/>
  <c r="AN38" i="12"/>
  <c r="AM38" i="12"/>
  <c r="AP37" i="12"/>
  <c r="AO37" i="12"/>
  <c r="AN37" i="12"/>
  <c r="AM37" i="12"/>
  <c r="AP36" i="12"/>
  <c r="AO36" i="12"/>
  <c r="AN36" i="12"/>
  <c r="AM36" i="12"/>
  <c r="AP32" i="12"/>
  <c r="AO32" i="12"/>
  <c r="AN32" i="12"/>
  <c r="AM32" i="12"/>
  <c r="AP31" i="12"/>
  <c r="AO31" i="12"/>
  <c r="AN31" i="12"/>
  <c r="AM31" i="12"/>
  <c r="AP30" i="12"/>
  <c r="AO30" i="12"/>
  <c r="AN30" i="12"/>
  <c r="AM30" i="12"/>
  <c r="AP29" i="12"/>
  <c r="AO29" i="12"/>
  <c r="AN29" i="12"/>
  <c r="AM29" i="12"/>
  <c r="AP28" i="12"/>
  <c r="AO28" i="12"/>
  <c r="AN28" i="12"/>
  <c r="AM28" i="12"/>
  <c r="AP27" i="12"/>
  <c r="AO27" i="12"/>
  <c r="AN27" i="12"/>
  <c r="AM27" i="12"/>
  <c r="AP26" i="12"/>
  <c r="AO26" i="12"/>
  <c r="AN26" i="12"/>
  <c r="AM26" i="12"/>
  <c r="AP25" i="12"/>
  <c r="AO25" i="12"/>
  <c r="AN25" i="12"/>
  <c r="AM25" i="12"/>
  <c r="AP23" i="12"/>
  <c r="AO23" i="12"/>
  <c r="AN23" i="12"/>
  <c r="AM23" i="12"/>
  <c r="AP22" i="12"/>
  <c r="AO22" i="12"/>
  <c r="AN22" i="12"/>
  <c r="AM22" i="12"/>
  <c r="AP21" i="12"/>
  <c r="AO21" i="12"/>
  <c r="AN21" i="12"/>
  <c r="AM21" i="12"/>
  <c r="AP20" i="12"/>
  <c r="AO20" i="12"/>
  <c r="AN20" i="12"/>
  <c r="AM20" i="12"/>
  <c r="AP19" i="12"/>
  <c r="AO19" i="12"/>
  <c r="AN19" i="12"/>
  <c r="AM19" i="12"/>
  <c r="AP18" i="12"/>
  <c r="AO18" i="12"/>
  <c r="AN18" i="12"/>
  <c r="AM18" i="12"/>
  <c r="AP16" i="12"/>
  <c r="AO16" i="12"/>
  <c r="AN16" i="12"/>
  <c r="AM16" i="12"/>
  <c r="AP15" i="12"/>
  <c r="AO15" i="12"/>
  <c r="AN15" i="12"/>
  <c r="AM15" i="12"/>
  <c r="AP14" i="12"/>
  <c r="AO14" i="12"/>
  <c r="AN14" i="12"/>
  <c r="AM14" i="12"/>
  <c r="AP13" i="12"/>
  <c r="AO13" i="12"/>
  <c r="AN13" i="12"/>
  <c r="AM13" i="12"/>
  <c r="AP11" i="12"/>
  <c r="AO11" i="12"/>
  <c r="AN11" i="12"/>
  <c r="AM11" i="12"/>
  <c r="AP10" i="12"/>
  <c r="AO10" i="12"/>
  <c r="AN10" i="12"/>
  <c r="AM10" i="12"/>
  <c r="AP9" i="12"/>
  <c r="AO9" i="12"/>
  <c r="AN9" i="12"/>
  <c r="AM9" i="12"/>
  <c r="AP8" i="12"/>
  <c r="AO8" i="12"/>
  <c r="AN8" i="12"/>
  <c r="AM8" i="12"/>
  <c r="AP7" i="12"/>
  <c r="AO7" i="12"/>
  <c r="AN7" i="12"/>
  <c r="AM7" i="12"/>
  <c r="AP6" i="12"/>
  <c r="AO6" i="12"/>
  <c r="AN6" i="12"/>
  <c r="AM6" i="12"/>
  <c r="AO92" i="11"/>
  <c r="AN92" i="11"/>
  <c r="AM92" i="11"/>
  <c r="AL92" i="11"/>
  <c r="AO91" i="11"/>
  <c r="AN91" i="11"/>
  <c r="AM91" i="11"/>
  <c r="AL91" i="11"/>
  <c r="AO90" i="11"/>
  <c r="AN90" i="11"/>
  <c r="AM90" i="11"/>
  <c r="AL90" i="11"/>
  <c r="AO89" i="11"/>
  <c r="AN89" i="11"/>
  <c r="AM89" i="11"/>
  <c r="AL89" i="11"/>
  <c r="AO87" i="11"/>
  <c r="AN87" i="11"/>
  <c r="AM87" i="11"/>
  <c r="AL87" i="11"/>
  <c r="AO86" i="11"/>
  <c r="AN86" i="11"/>
  <c r="AM86" i="11"/>
  <c r="AL86" i="11"/>
  <c r="AO85" i="11"/>
  <c r="AN85" i="11"/>
  <c r="AM85" i="11"/>
  <c r="AL85" i="11"/>
  <c r="AO84" i="11"/>
  <c r="AN84" i="11"/>
  <c r="AM84" i="11"/>
  <c r="AL84" i="11"/>
  <c r="AO82" i="11"/>
  <c r="AN82" i="11"/>
  <c r="AM82" i="11"/>
  <c r="AL82" i="11"/>
  <c r="AO81" i="11"/>
  <c r="AN81" i="11"/>
  <c r="AM81" i="11"/>
  <c r="AL81" i="11"/>
  <c r="AO79" i="11"/>
  <c r="AN79" i="11"/>
  <c r="AM79" i="11"/>
  <c r="AL79" i="11"/>
  <c r="AO78" i="11"/>
  <c r="AN78" i="11"/>
  <c r="AM78" i="11"/>
  <c r="AL78" i="11"/>
  <c r="AO77" i="11"/>
  <c r="AN77" i="11"/>
  <c r="AM77" i="11"/>
  <c r="AL77" i="11"/>
  <c r="AO76" i="11"/>
  <c r="AN76" i="11"/>
  <c r="AM76" i="11"/>
  <c r="AL76" i="11"/>
  <c r="AO74" i="11"/>
  <c r="AN74" i="11"/>
  <c r="AM74" i="11"/>
  <c r="AL74" i="11"/>
  <c r="AO73" i="11"/>
  <c r="AN73" i="11"/>
  <c r="AM73" i="11"/>
  <c r="AL73" i="11"/>
  <c r="AO71" i="11"/>
  <c r="AN71" i="11"/>
  <c r="AM71" i="11"/>
  <c r="AL71" i="11"/>
  <c r="AO69" i="11"/>
  <c r="AN69" i="11"/>
  <c r="AM69" i="11"/>
  <c r="AL69" i="11"/>
  <c r="AO68" i="11"/>
  <c r="AN68" i="11"/>
  <c r="AM68" i="11"/>
  <c r="AL68" i="11"/>
  <c r="AO65" i="11"/>
  <c r="AN65" i="11"/>
  <c r="AM65" i="11"/>
  <c r="AL65" i="11"/>
  <c r="AO64" i="11"/>
  <c r="AN64" i="11"/>
  <c r="AM64" i="11"/>
  <c r="AL64" i="11"/>
  <c r="AO59" i="11"/>
  <c r="AN59" i="11"/>
  <c r="AM59" i="11"/>
  <c r="AL59" i="11"/>
  <c r="AO58" i="11"/>
  <c r="AN58" i="11"/>
  <c r="AM58" i="11"/>
  <c r="AL58" i="11"/>
  <c r="AO57" i="11"/>
  <c r="AN57" i="11"/>
  <c r="AM57" i="11"/>
  <c r="AL57" i="11"/>
  <c r="AO56" i="11"/>
  <c r="AN56" i="11"/>
  <c r="AM56" i="11"/>
  <c r="AL56" i="11"/>
  <c r="AO55" i="11"/>
  <c r="AN55" i="11"/>
  <c r="AM55" i="11"/>
  <c r="AL55" i="11"/>
  <c r="AO53" i="11"/>
  <c r="AN53" i="11"/>
  <c r="AM53" i="11"/>
  <c r="AL53" i="11"/>
  <c r="AO52" i="11"/>
  <c r="AN52" i="11"/>
  <c r="AM52" i="11"/>
  <c r="AL52" i="11"/>
  <c r="AO51" i="11"/>
  <c r="AN51" i="11"/>
  <c r="AM51" i="11"/>
  <c r="AL51" i="11"/>
  <c r="AO50" i="11"/>
  <c r="AN50" i="11"/>
  <c r="AM50" i="11"/>
  <c r="AL50" i="11"/>
  <c r="AO49" i="11"/>
  <c r="AN49" i="11"/>
  <c r="AM49" i="11"/>
  <c r="AL49" i="11"/>
  <c r="AO48" i="11"/>
  <c r="AN48" i="11"/>
  <c r="AM48" i="11"/>
  <c r="AL48" i="11"/>
  <c r="AO46" i="11"/>
  <c r="AN46" i="11"/>
  <c r="AM46" i="11"/>
  <c r="AL46" i="11"/>
  <c r="AO45" i="11"/>
  <c r="AN45" i="11"/>
  <c r="AM45" i="11"/>
  <c r="AL45" i="11"/>
  <c r="AO44" i="11"/>
  <c r="AN44" i="11"/>
  <c r="AM44" i="11"/>
  <c r="AL44" i="11"/>
  <c r="AO43" i="11"/>
  <c r="AN43" i="11"/>
  <c r="AM43" i="11"/>
  <c r="AL43" i="11"/>
  <c r="AO42" i="11"/>
  <c r="AN42" i="11"/>
  <c r="AM42" i="11"/>
  <c r="AL42" i="11"/>
  <c r="AO41" i="11"/>
  <c r="AN41" i="11"/>
  <c r="AM41" i="11"/>
  <c r="AL41" i="11"/>
  <c r="AO39" i="11"/>
  <c r="AN39" i="11"/>
  <c r="AM39" i="11"/>
  <c r="AL39" i="11"/>
  <c r="AO38" i="11"/>
  <c r="AN38" i="11"/>
  <c r="AM38" i="11"/>
  <c r="AL38" i="11"/>
  <c r="AO37" i="11"/>
  <c r="AN37" i="11"/>
  <c r="AM37" i="11"/>
  <c r="AL37" i="11"/>
  <c r="AO36" i="11"/>
  <c r="AN36" i="11"/>
  <c r="AM36" i="11"/>
  <c r="AL36" i="11"/>
  <c r="AO32" i="11"/>
  <c r="AN32" i="11"/>
  <c r="AM32" i="11"/>
  <c r="AL32" i="11"/>
  <c r="AO31" i="11"/>
  <c r="AN31" i="11"/>
  <c r="AM31" i="11"/>
  <c r="AL31" i="11"/>
  <c r="AO30" i="11"/>
  <c r="AN30" i="11"/>
  <c r="AM30" i="11"/>
  <c r="AL30" i="11"/>
  <c r="AO29" i="11"/>
  <c r="AN29" i="11"/>
  <c r="AM29" i="11"/>
  <c r="AL29" i="11"/>
  <c r="AO28" i="11"/>
  <c r="AN28" i="11"/>
  <c r="AM28" i="11"/>
  <c r="AL28" i="11"/>
  <c r="AO27" i="11"/>
  <c r="AN27" i="11"/>
  <c r="AM27" i="11"/>
  <c r="AL27" i="11"/>
  <c r="AO26" i="11"/>
  <c r="AN26" i="11"/>
  <c r="AM26" i="11"/>
  <c r="AL26" i="11"/>
  <c r="AO25" i="11"/>
  <c r="AN25" i="11"/>
  <c r="AM25" i="11"/>
  <c r="AL25" i="11"/>
  <c r="AO23" i="11"/>
  <c r="AN23" i="11"/>
  <c r="AM23" i="11"/>
  <c r="AL23" i="11"/>
  <c r="AO22" i="11"/>
  <c r="AN22" i="11"/>
  <c r="AM22" i="11"/>
  <c r="AL22" i="11"/>
  <c r="AO21" i="11"/>
  <c r="AN21" i="11"/>
  <c r="AM21" i="11"/>
  <c r="AL21" i="11"/>
  <c r="AO20" i="11"/>
  <c r="AN20" i="11"/>
  <c r="AM20" i="11"/>
  <c r="AL20" i="11"/>
  <c r="AO19" i="11"/>
  <c r="AN19" i="11"/>
  <c r="AM19" i="11"/>
  <c r="AL19" i="11"/>
  <c r="AO18" i="11"/>
  <c r="AN18" i="11"/>
  <c r="AM18" i="11"/>
  <c r="AL18" i="11"/>
  <c r="AO16" i="11"/>
  <c r="AN16" i="11"/>
  <c r="AM16" i="11"/>
  <c r="AL16" i="11"/>
  <c r="AO15" i="11"/>
  <c r="AN15" i="11"/>
  <c r="AM15" i="11"/>
  <c r="AL15" i="11"/>
  <c r="AO14" i="11"/>
  <c r="AN14" i="11"/>
  <c r="AM14" i="11"/>
  <c r="AL14" i="11"/>
  <c r="AO13" i="11"/>
  <c r="AN13" i="11"/>
  <c r="AM13" i="11"/>
  <c r="AL13" i="11"/>
  <c r="AO11" i="11"/>
  <c r="AN11" i="11"/>
  <c r="AM11" i="11"/>
  <c r="AL11" i="11"/>
  <c r="AO10" i="11"/>
  <c r="AN10" i="11"/>
  <c r="AM10" i="11"/>
  <c r="AL10" i="11"/>
  <c r="AO9" i="11"/>
  <c r="AN9" i="11"/>
  <c r="AM9" i="11"/>
  <c r="AL9" i="11"/>
  <c r="AO8" i="11"/>
  <c r="AN8" i="11"/>
  <c r="AM8" i="11"/>
  <c r="AL8" i="11"/>
  <c r="AO7" i="11"/>
  <c r="AN7" i="11"/>
  <c r="AM7" i="11"/>
  <c r="AL7" i="11"/>
  <c r="AO6" i="11"/>
  <c r="AN6" i="11"/>
  <c r="AM6" i="11"/>
  <c r="AL6" i="11"/>
  <c r="AT92" i="9" l="1"/>
  <c r="AS92" i="9"/>
  <c r="AR92" i="9"/>
  <c r="AQ92" i="9"/>
  <c r="AP92" i="9"/>
  <c r="AO92" i="9"/>
  <c r="AN92" i="9"/>
  <c r="AM92" i="9"/>
  <c r="AL92" i="9"/>
  <c r="AK92" i="9"/>
  <c r="AT91" i="9"/>
  <c r="AS91" i="9"/>
  <c r="AR91" i="9"/>
  <c r="AQ91" i="9"/>
  <c r="AP91" i="9"/>
  <c r="AO91" i="9"/>
  <c r="AN91" i="9"/>
  <c r="AM91" i="9"/>
  <c r="AL91" i="9"/>
  <c r="AK91" i="9"/>
  <c r="AT90" i="9"/>
  <c r="AS90" i="9"/>
  <c r="AR90" i="9"/>
  <c r="AQ90" i="9"/>
  <c r="AP90" i="9"/>
  <c r="AO90" i="9"/>
  <c r="AN90" i="9"/>
  <c r="AM90" i="9"/>
  <c r="AL90" i="9"/>
  <c r="AK90" i="9"/>
  <c r="AT89" i="9"/>
  <c r="AS89" i="9"/>
  <c r="AR89" i="9"/>
  <c r="AQ89" i="9"/>
  <c r="AP89" i="9"/>
  <c r="AO89" i="9"/>
  <c r="AN89" i="9"/>
  <c r="AM89" i="9"/>
  <c r="AL89" i="9"/>
  <c r="AK89" i="9"/>
  <c r="AT87" i="9"/>
  <c r="AS87" i="9"/>
  <c r="AR87" i="9"/>
  <c r="AQ87" i="9"/>
  <c r="AP87" i="9"/>
  <c r="AO87" i="9"/>
  <c r="AN87" i="9"/>
  <c r="AM87" i="9"/>
  <c r="AL87" i="9"/>
  <c r="AK87" i="9"/>
  <c r="AT86" i="9"/>
  <c r="AS86" i="9"/>
  <c r="AR86" i="9"/>
  <c r="AQ86" i="9"/>
  <c r="AP86" i="9"/>
  <c r="AO86" i="9"/>
  <c r="AN86" i="9"/>
  <c r="AM86" i="9"/>
  <c r="AL86" i="9"/>
  <c r="AK86" i="9"/>
  <c r="AT85" i="9"/>
  <c r="AS85" i="9"/>
  <c r="AR85" i="9"/>
  <c r="AQ85" i="9"/>
  <c r="AP85" i="9"/>
  <c r="AO85" i="9"/>
  <c r="AN85" i="9"/>
  <c r="AM85" i="9"/>
  <c r="AL85" i="9"/>
  <c r="AK85" i="9"/>
  <c r="AT84" i="9"/>
  <c r="AS84" i="9"/>
  <c r="AR84" i="9"/>
  <c r="AQ84" i="9"/>
  <c r="AP84" i="9"/>
  <c r="AO84" i="9"/>
  <c r="AN84" i="9"/>
  <c r="AM84" i="9"/>
  <c r="AL84" i="9"/>
  <c r="AK84" i="9"/>
  <c r="AN82" i="9"/>
  <c r="AM82" i="9"/>
  <c r="AL82" i="9"/>
  <c r="AK82" i="9"/>
  <c r="AN81" i="9"/>
  <c r="AM81" i="9"/>
  <c r="AL81" i="9"/>
  <c r="AK81" i="9"/>
  <c r="AN79" i="9"/>
  <c r="AM79" i="9"/>
  <c r="AL79" i="9"/>
  <c r="AK79" i="9"/>
  <c r="AN78" i="9"/>
  <c r="AM78" i="9"/>
  <c r="AL78" i="9"/>
  <c r="AK78" i="9"/>
  <c r="AN77" i="9"/>
  <c r="AM77" i="9"/>
  <c r="AL77" i="9"/>
  <c r="AK77" i="9"/>
  <c r="AN76" i="9"/>
  <c r="AM76" i="9"/>
  <c r="AL76" i="9"/>
  <c r="AK76" i="9"/>
  <c r="AT74" i="9"/>
  <c r="AS74" i="9"/>
  <c r="AR74" i="9"/>
  <c r="AQ74" i="9"/>
  <c r="AP74" i="9"/>
  <c r="AO74" i="9"/>
  <c r="AN74" i="9"/>
  <c r="AM74" i="9"/>
  <c r="AL74" i="9"/>
  <c r="AK74" i="9"/>
  <c r="AT73" i="9"/>
  <c r="AS73" i="9"/>
  <c r="AR73" i="9"/>
  <c r="AQ73" i="9"/>
  <c r="AP73" i="9"/>
  <c r="AO73" i="9"/>
  <c r="AN73" i="9"/>
  <c r="AM73" i="9"/>
  <c r="AL73" i="9"/>
  <c r="AK73" i="9"/>
  <c r="AN71" i="9"/>
  <c r="AM71" i="9"/>
  <c r="AL71" i="9"/>
  <c r="AK71" i="9"/>
  <c r="AN70" i="9"/>
  <c r="AM70" i="9"/>
  <c r="AL70" i="9"/>
  <c r="AK70" i="9"/>
  <c r="AN69" i="9"/>
  <c r="AM69" i="9"/>
  <c r="AL69" i="9"/>
  <c r="AK69" i="9"/>
  <c r="AN68" i="9"/>
  <c r="AM68" i="9"/>
  <c r="AL68" i="9"/>
  <c r="AK68" i="9"/>
  <c r="AN67" i="9"/>
  <c r="AM67" i="9"/>
  <c r="AL67" i="9"/>
  <c r="AK67" i="9"/>
  <c r="AN66" i="9"/>
  <c r="AM66" i="9"/>
  <c r="AL66" i="9"/>
  <c r="AK66" i="9"/>
  <c r="AN65" i="9"/>
  <c r="AM65" i="9"/>
  <c r="AL65" i="9"/>
  <c r="AK65" i="9"/>
  <c r="AN64" i="9"/>
  <c r="AM64" i="9"/>
  <c r="AL64" i="9"/>
  <c r="AK64" i="9"/>
  <c r="AT59" i="9"/>
  <c r="AS59" i="9"/>
  <c r="AR59" i="9"/>
  <c r="AQ59" i="9"/>
  <c r="AP59" i="9"/>
  <c r="AO59" i="9"/>
  <c r="AN59" i="9"/>
  <c r="AM59" i="9"/>
  <c r="AL59" i="9"/>
  <c r="AK59" i="9"/>
  <c r="AT58" i="9"/>
  <c r="AS58" i="9"/>
  <c r="AR58" i="9"/>
  <c r="AQ58" i="9"/>
  <c r="AP58" i="9"/>
  <c r="AO58" i="9"/>
  <c r="AN58" i="9"/>
  <c r="AM58" i="9"/>
  <c r="AL58" i="9"/>
  <c r="AK58" i="9"/>
  <c r="AT57" i="9"/>
  <c r="AS57" i="9"/>
  <c r="AR57" i="9"/>
  <c r="AQ57" i="9"/>
  <c r="AP57" i="9"/>
  <c r="AO57" i="9"/>
  <c r="AN57" i="9"/>
  <c r="AM57" i="9"/>
  <c r="AL57" i="9"/>
  <c r="AK57" i="9"/>
  <c r="AT56" i="9"/>
  <c r="AS56" i="9"/>
  <c r="AR56" i="9"/>
  <c r="AQ56" i="9"/>
  <c r="AP56" i="9"/>
  <c r="AO56" i="9"/>
  <c r="AN56" i="9"/>
  <c r="AM56" i="9"/>
  <c r="AL56" i="9"/>
  <c r="AK56" i="9"/>
  <c r="AT55" i="9"/>
  <c r="AS55" i="9"/>
  <c r="AR55" i="9"/>
  <c r="AQ55" i="9"/>
  <c r="AP55" i="9"/>
  <c r="AO55" i="9"/>
  <c r="AN55" i="9"/>
  <c r="AM55" i="9"/>
  <c r="AL55" i="9"/>
  <c r="AK55" i="9"/>
  <c r="AT53" i="9"/>
  <c r="AS53" i="9"/>
  <c r="AR53" i="9"/>
  <c r="AQ53" i="9"/>
  <c r="AP53" i="9"/>
  <c r="AO53" i="9"/>
  <c r="AN53" i="9"/>
  <c r="AM53" i="9"/>
  <c r="AL53" i="9"/>
  <c r="AK53" i="9"/>
  <c r="AT52" i="9"/>
  <c r="AS52" i="9"/>
  <c r="AR52" i="9"/>
  <c r="AQ52" i="9"/>
  <c r="AP52" i="9"/>
  <c r="AO52" i="9"/>
  <c r="AN52" i="9"/>
  <c r="AM52" i="9"/>
  <c r="AL52" i="9"/>
  <c r="AK52" i="9"/>
  <c r="AT51" i="9"/>
  <c r="AS51" i="9"/>
  <c r="AR51" i="9"/>
  <c r="AQ51" i="9"/>
  <c r="AP51" i="9"/>
  <c r="AO51" i="9"/>
  <c r="AN51" i="9"/>
  <c r="AM51" i="9"/>
  <c r="AL51" i="9"/>
  <c r="AK51" i="9"/>
  <c r="AT50" i="9"/>
  <c r="AS50" i="9"/>
  <c r="AR50" i="9"/>
  <c r="AQ50" i="9"/>
  <c r="AP50" i="9"/>
  <c r="AO50" i="9"/>
  <c r="AN50" i="9"/>
  <c r="AM50" i="9"/>
  <c r="AL50" i="9"/>
  <c r="AK50" i="9"/>
  <c r="AT49" i="9"/>
  <c r="AS49" i="9"/>
  <c r="AR49" i="9"/>
  <c r="AQ49" i="9"/>
  <c r="AP49" i="9"/>
  <c r="AO49" i="9"/>
  <c r="AN49" i="9"/>
  <c r="AM49" i="9"/>
  <c r="AL49" i="9"/>
  <c r="AK49" i="9"/>
  <c r="AT48" i="9"/>
  <c r="AS48" i="9"/>
  <c r="AR48" i="9"/>
  <c r="AQ48" i="9"/>
  <c r="AP48" i="9"/>
  <c r="AO48" i="9"/>
  <c r="AN48" i="9"/>
  <c r="AM48" i="9"/>
  <c r="AL48" i="9"/>
  <c r="AK48" i="9"/>
  <c r="AT46" i="9"/>
  <c r="AS46" i="9"/>
  <c r="AR46" i="9"/>
  <c r="AQ46" i="9"/>
  <c r="AP46" i="9"/>
  <c r="AO46" i="9"/>
  <c r="AN46" i="9"/>
  <c r="AM46" i="9"/>
  <c r="AL46" i="9"/>
  <c r="AK46" i="9"/>
  <c r="AT45" i="9"/>
  <c r="AS45" i="9"/>
  <c r="AR45" i="9"/>
  <c r="AQ45" i="9"/>
  <c r="AP45" i="9"/>
  <c r="AO45" i="9"/>
  <c r="AN45" i="9"/>
  <c r="AM45" i="9"/>
  <c r="AL45" i="9"/>
  <c r="AK45" i="9"/>
  <c r="AT44" i="9"/>
  <c r="AS44" i="9"/>
  <c r="AR44" i="9"/>
  <c r="AQ44" i="9"/>
  <c r="AP44" i="9"/>
  <c r="AO44" i="9"/>
  <c r="AN44" i="9"/>
  <c r="AM44" i="9"/>
  <c r="AL44" i="9"/>
  <c r="AK44" i="9"/>
  <c r="AT43" i="9"/>
  <c r="AS43" i="9"/>
  <c r="AR43" i="9"/>
  <c r="AQ43" i="9"/>
  <c r="AP43" i="9"/>
  <c r="AO43" i="9"/>
  <c r="AN43" i="9"/>
  <c r="AM43" i="9"/>
  <c r="AL43" i="9"/>
  <c r="AK43" i="9"/>
  <c r="AT42" i="9"/>
  <c r="AS42" i="9"/>
  <c r="AR42" i="9"/>
  <c r="AQ42" i="9"/>
  <c r="AP42" i="9"/>
  <c r="AO42" i="9"/>
  <c r="AN42" i="9"/>
  <c r="AM42" i="9"/>
  <c r="AL42" i="9"/>
  <c r="AK42" i="9"/>
  <c r="AT41" i="9"/>
  <c r="AS41" i="9"/>
  <c r="AR41" i="9"/>
  <c r="AQ41" i="9"/>
  <c r="AP41" i="9"/>
  <c r="AO41" i="9"/>
  <c r="AN41" i="9"/>
  <c r="AM41" i="9"/>
  <c r="AL41" i="9"/>
  <c r="AK41" i="9"/>
  <c r="AT39" i="9"/>
  <c r="AS39" i="9"/>
  <c r="AR39" i="9"/>
  <c r="AQ39" i="9"/>
  <c r="AP39" i="9"/>
  <c r="AO39" i="9"/>
  <c r="AN39" i="9"/>
  <c r="AM39" i="9"/>
  <c r="AL39" i="9"/>
  <c r="AK39" i="9"/>
  <c r="AT38" i="9"/>
  <c r="AS38" i="9"/>
  <c r="AR38" i="9"/>
  <c r="AQ38" i="9"/>
  <c r="AP38" i="9"/>
  <c r="AO38" i="9"/>
  <c r="AN38" i="9"/>
  <c r="AM38" i="9"/>
  <c r="AL38" i="9"/>
  <c r="AK38" i="9"/>
  <c r="AT37" i="9"/>
  <c r="AS37" i="9"/>
  <c r="AR37" i="9"/>
  <c r="AQ37" i="9"/>
  <c r="AP37" i="9"/>
  <c r="AO37" i="9"/>
  <c r="AN37" i="9"/>
  <c r="AM37" i="9"/>
  <c r="AL37" i="9"/>
  <c r="AK37" i="9"/>
  <c r="AT36" i="9"/>
  <c r="AS36" i="9"/>
  <c r="AR36" i="9"/>
  <c r="AQ36" i="9"/>
  <c r="AP36" i="9"/>
  <c r="AO36" i="9"/>
  <c r="AN36" i="9"/>
  <c r="AM36" i="9"/>
  <c r="AL36" i="9"/>
  <c r="AK36" i="9"/>
  <c r="AN32" i="9"/>
  <c r="AM32" i="9"/>
  <c r="AL32" i="9"/>
  <c r="AK32" i="9"/>
  <c r="AN31" i="9"/>
  <c r="AM31" i="9"/>
  <c r="AL31" i="9"/>
  <c r="AK31" i="9"/>
  <c r="AN30" i="9"/>
  <c r="AM30" i="9"/>
  <c r="AL30" i="9"/>
  <c r="AK30" i="9"/>
  <c r="AN29" i="9"/>
  <c r="AM29" i="9"/>
  <c r="AL29" i="9"/>
  <c r="AK29" i="9"/>
  <c r="AN28" i="9"/>
  <c r="AM28" i="9"/>
  <c r="AL28" i="9"/>
  <c r="AK28" i="9"/>
  <c r="AN27" i="9"/>
  <c r="AM27" i="9"/>
  <c r="AL27" i="9"/>
  <c r="AK27" i="9"/>
  <c r="AN26" i="9"/>
  <c r="AM26" i="9"/>
  <c r="AL26" i="9"/>
  <c r="AK26" i="9"/>
  <c r="AN25" i="9"/>
  <c r="AM25" i="9"/>
  <c r="AL25" i="9"/>
  <c r="AK25" i="9"/>
  <c r="AT23" i="9"/>
  <c r="AS23" i="9"/>
  <c r="AR23" i="9"/>
  <c r="AQ23" i="9"/>
  <c r="AP23" i="9"/>
  <c r="AO23" i="9"/>
  <c r="AN23" i="9"/>
  <c r="AM23" i="9"/>
  <c r="AL23" i="9"/>
  <c r="AK23" i="9"/>
  <c r="AT22" i="9"/>
  <c r="AS22" i="9"/>
  <c r="AR22" i="9"/>
  <c r="AQ22" i="9"/>
  <c r="AP22" i="9"/>
  <c r="AO22" i="9"/>
  <c r="AN22" i="9"/>
  <c r="AM22" i="9"/>
  <c r="AL22" i="9"/>
  <c r="AK22" i="9"/>
  <c r="AT21" i="9"/>
  <c r="AS21" i="9"/>
  <c r="AR21" i="9"/>
  <c r="AQ21" i="9"/>
  <c r="AP21" i="9"/>
  <c r="AO21" i="9"/>
  <c r="AN21" i="9"/>
  <c r="AM21" i="9"/>
  <c r="AL21" i="9"/>
  <c r="AK21" i="9"/>
  <c r="AT20" i="9"/>
  <c r="AS20" i="9"/>
  <c r="AR20" i="9"/>
  <c r="AQ20" i="9"/>
  <c r="AP20" i="9"/>
  <c r="AO20" i="9"/>
  <c r="AN20" i="9"/>
  <c r="AM20" i="9"/>
  <c r="AL20" i="9"/>
  <c r="AK20" i="9"/>
  <c r="AT19" i="9"/>
  <c r="AS19" i="9"/>
  <c r="AR19" i="9"/>
  <c r="AQ19" i="9"/>
  <c r="AP19" i="9"/>
  <c r="AO19" i="9"/>
  <c r="AN19" i="9"/>
  <c r="AM19" i="9"/>
  <c r="AL19" i="9"/>
  <c r="AK19" i="9"/>
  <c r="AT18" i="9"/>
  <c r="AS18" i="9"/>
  <c r="AR18" i="9"/>
  <c r="AQ18" i="9"/>
  <c r="AP18" i="9"/>
  <c r="AO18" i="9"/>
  <c r="AN18" i="9"/>
  <c r="AM18" i="9"/>
  <c r="AL18" i="9"/>
  <c r="AK18" i="9"/>
  <c r="AN16" i="9"/>
  <c r="AM16" i="9"/>
  <c r="AL16" i="9"/>
  <c r="AK16" i="9"/>
  <c r="AN15" i="9"/>
  <c r="AM15" i="9"/>
  <c r="AL15" i="9"/>
  <c r="AK15" i="9"/>
  <c r="AN14" i="9"/>
  <c r="AM14" i="9"/>
  <c r="AL14" i="9"/>
  <c r="AK14" i="9"/>
  <c r="AN13" i="9"/>
  <c r="AM13" i="9"/>
  <c r="AL13" i="9"/>
  <c r="AK13" i="9"/>
  <c r="AN11" i="9"/>
  <c r="AM11" i="9"/>
  <c r="AL11" i="9"/>
  <c r="AK11" i="9"/>
  <c r="AN10" i="9"/>
  <c r="AM10" i="9"/>
  <c r="AL10" i="9"/>
  <c r="AK10" i="9"/>
  <c r="AN9" i="9"/>
  <c r="AM9" i="9"/>
  <c r="AL9" i="9"/>
  <c r="AK9" i="9"/>
  <c r="AN8" i="9"/>
  <c r="AM8" i="9"/>
  <c r="AL8" i="9"/>
  <c r="AK8" i="9"/>
  <c r="AN7" i="9"/>
  <c r="AM7" i="9"/>
  <c r="AL7" i="9"/>
  <c r="AK7" i="9"/>
  <c r="AN6" i="9"/>
  <c r="AM6" i="9"/>
  <c r="AL6" i="9"/>
  <c r="AK6" i="9"/>
  <c r="U24" i="6"/>
  <c r="T24" i="6"/>
  <c r="S24" i="6"/>
  <c r="R24" i="6"/>
  <c r="U23" i="6"/>
  <c r="T23" i="6"/>
  <c r="S23" i="6"/>
  <c r="R23" i="6"/>
  <c r="U21" i="6"/>
  <c r="T21" i="6"/>
  <c r="S21" i="6"/>
  <c r="R21" i="6"/>
  <c r="U20" i="6"/>
  <c r="T20" i="6"/>
  <c r="S20" i="6"/>
  <c r="R20" i="6"/>
  <c r="U19" i="6"/>
  <c r="T19" i="6"/>
  <c r="S19" i="6"/>
  <c r="R19" i="6"/>
  <c r="U18" i="6"/>
  <c r="T18" i="6"/>
  <c r="S18" i="6"/>
  <c r="R18" i="6"/>
  <c r="U17" i="6"/>
  <c r="T17" i="6"/>
  <c r="S17" i="6"/>
  <c r="R17" i="6"/>
  <c r="U16" i="6"/>
  <c r="T16" i="6"/>
  <c r="S16" i="6"/>
  <c r="R16" i="6"/>
  <c r="U15" i="6"/>
  <c r="T15" i="6"/>
  <c r="S15" i="6"/>
  <c r="R15" i="6"/>
  <c r="U14" i="6"/>
  <c r="T14" i="6"/>
  <c r="S14" i="6"/>
  <c r="R14" i="6"/>
  <c r="U12" i="6"/>
  <c r="T12" i="6"/>
  <c r="S12" i="6"/>
  <c r="R12" i="6"/>
  <c r="U11" i="6"/>
  <c r="T11" i="6"/>
  <c r="S11" i="6"/>
  <c r="R11" i="6"/>
  <c r="U10" i="6"/>
  <c r="T10" i="6"/>
  <c r="S10" i="6"/>
  <c r="R10" i="6"/>
  <c r="U9" i="6"/>
  <c r="T9" i="6"/>
  <c r="S9" i="6"/>
  <c r="R9" i="6"/>
  <c r="U7" i="6"/>
  <c r="T7" i="6"/>
  <c r="S7" i="6"/>
  <c r="R7" i="6"/>
  <c r="U6" i="6"/>
  <c r="T6" i="6"/>
  <c r="S6" i="6"/>
  <c r="R6" i="6"/>
  <c r="AI24" i="5"/>
  <c r="AH24" i="5"/>
  <c r="AG24" i="5"/>
  <c r="AF24" i="5"/>
  <c r="AI23" i="5"/>
  <c r="AH23" i="5"/>
  <c r="AG23" i="5"/>
  <c r="AF23" i="5"/>
  <c r="AI21" i="5"/>
  <c r="AH21" i="5"/>
  <c r="AG21" i="5"/>
  <c r="AF21" i="5"/>
  <c r="AI20" i="5"/>
  <c r="AH20" i="5"/>
  <c r="AG20" i="5"/>
  <c r="AF20" i="5"/>
  <c r="AI19" i="5"/>
  <c r="AH19" i="5"/>
  <c r="AG19" i="5"/>
  <c r="AF19" i="5"/>
  <c r="AI18" i="5"/>
  <c r="AH18" i="5"/>
  <c r="AG18" i="5"/>
  <c r="AF18" i="5"/>
  <c r="AI17" i="5"/>
  <c r="AH17" i="5"/>
  <c r="AG17" i="5"/>
  <c r="AF17" i="5"/>
  <c r="AI16" i="5"/>
  <c r="AH16" i="5"/>
  <c r="AG16" i="5"/>
  <c r="AF16" i="5"/>
  <c r="AI15" i="5"/>
  <c r="AH15" i="5"/>
  <c r="AG15" i="5"/>
  <c r="AF15" i="5"/>
  <c r="AI14" i="5"/>
  <c r="AH14" i="5"/>
  <c r="AG14" i="5"/>
  <c r="AF14" i="5"/>
  <c r="AI12" i="5"/>
  <c r="AH12" i="5"/>
  <c r="AG12" i="5"/>
  <c r="AF12" i="5"/>
  <c r="AI11" i="5"/>
  <c r="AH11" i="5"/>
  <c r="AG11" i="5"/>
  <c r="AF11" i="5"/>
  <c r="AI10" i="5"/>
  <c r="AH10" i="5"/>
  <c r="AG10" i="5"/>
  <c r="AF10" i="5"/>
  <c r="AI9" i="5"/>
  <c r="AH9" i="5"/>
  <c r="AG9" i="5"/>
  <c r="AF9" i="5"/>
  <c r="AI7" i="5"/>
  <c r="AH7" i="5"/>
  <c r="AG7" i="5"/>
  <c r="AF7" i="5"/>
  <c r="AI6" i="5"/>
  <c r="AH6" i="5"/>
  <c r="AG6" i="5"/>
  <c r="AF6" i="5"/>
  <c r="AR7" i="1" l="1"/>
  <c r="AR8" i="1"/>
  <c r="AR9" i="1"/>
  <c r="AR10" i="1"/>
  <c r="AR11" i="1"/>
  <c r="AR13" i="1"/>
  <c r="AR14" i="1"/>
  <c r="AR15" i="1"/>
  <c r="AR16" i="1"/>
  <c r="AR18" i="1"/>
  <c r="AR19" i="1"/>
  <c r="AR20" i="1"/>
  <c r="AR21" i="1"/>
  <c r="AR22" i="1"/>
  <c r="AR23" i="1"/>
  <c r="AR25" i="1"/>
  <c r="AR26" i="1"/>
  <c r="AR27" i="1"/>
  <c r="AR28" i="1"/>
  <c r="AR29" i="1"/>
  <c r="AR30" i="1"/>
  <c r="AR31" i="1"/>
  <c r="AR32" i="1"/>
  <c r="AR36" i="1"/>
  <c r="AR37" i="1"/>
  <c r="AR38" i="1"/>
  <c r="AR39" i="1"/>
  <c r="AR41" i="1"/>
  <c r="AR42" i="1"/>
  <c r="AR43" i="1"/>
  <c r="AR44" i="1"/>
  <c r="AR45" i="1"/>
  <c r="AR46" i="1"/>
  <c r="AR48" i="1"/>
  <c r="AR49" i="1"/>
  <c r="AR50" i="1"/>
  <c r="AR51" i="1"/>
  <c r="AR52" i="1"/>
  <c r="AR53" i="1"/>
  <c r="AR55" i="1"/>
  <c r="AR56" i="1"/>
  <c r="AR57" i="1"/>
  <c r="AR58" i="1"/>
  <c r="AR59" i="1"/>
  <c r="AR66" i="1"/>
  <c r="AR70" i="1"/>
  <c r="AR73" i="1"/>
  <c r="AR74" i="1"/>
  <c r="AR76" i="1"/>
  <c r="AR77" i="1"/>
  <c r="AR78" i="1"/>
  <c r="AR79" i="1"/>
  <c r="AR81" i="1"/>
  <c r="AR82" i="1"/>
  <c r="AR84" i="1"/>
  <c r="AR85" i="1"/>
  <c r="AR86" i="1"/>
  <c r="AR87" i="1"/>
  <c r="AR89" i="1"/>
  <c r="AR90" i="1"/>
  <c r="AR91" i="1"/>
  <c r="AR92" i="1"/>
  <c r="AR6" i="1"/>
  <c r="AQ8" i="1"/>
  <c r="AQ7" i="1"/>
  <c r="AQ9" i="1"/>
  <c r="AQ10" i="1"/>
  <c r="AQ11" i="1"/>
  <c r="AQ13" i="1"/>
  <c r="AQ14" i="1"/>
  <c r="AQ15" i="1"/>
  <c r="AQ16" i="1"/>
  <c r="AQ18" i="1"/>
  <c r="AQ19" i="1"/>
  <c r="AQ20" i="1"/>
  <c r="AQ21" i="1"/>
  <c r="AQ22" i="1"/>
  <c r="AQ23" i="1"/>
  <c r="AQ25" i="1"/>
  <c r="AQ26" i="1"/>
  <c r="AQ27" i="1"/>
  <c r="AQ28" i="1"/>
  <c r="AQ29" i="1"/>
  <c r="AQ30" i="1"/>
  <c r="AQ31" i="1"/>
  <c r="AQ32" i="1"/>
  <c r="AQ36" i="1"/>
  <c r="AQ37" i="1"/>
  <c r="AQ38" i="1"/>
  <c r="AQ39" i="1"/>
  <c r="AQ41" i="1"/>
  <c r="AQ42" i="1"/>
  <c r="AQ43" i="1"/>
  <c r="AQ44" i="1"/>
  <c r="AQ45" i="1"/>
  <c r="AQ46" i="1"/>
  <c r="AQ48" i="1"/>
  <c r="AQ49" i="1"/>
  <c r="AQ50" i="1"/>
  <c r="AQ51" i="1"/>
  <c r="AQ52" i="1"/>
  <c r="AQ53" i="1"/>
  <c r="AQ55" i="1"/>
  <c r="AQ56" i="1"/>
  <c r="AQ57" i="1"/>
  <c r="AQ58" i="1"/>
  <c r="AQ59" i="1"/>
  <c r="AQ70" i="1"/>
  <c r="AQ73" i="1"/>
  <c r="AQ74" i="1"/>
  <c r="AQ76" i="1"/>
  <c r="AQ77" i="1"/>
  <c r="AQ78" i="1"/>
  <c r="AQ79" i="1"/>
  <c r="AQ81" i="1"/>
  <c r="AQ82" i="1"/>
  <c r="AQ84" i="1"/>
  <c r="AQ85" i="1"/>
  <c r="AQ86" i="1"/>
  <c r="AQ87" i="1"/>
  <c r="AQ89" i="1"/>
  <c r="AQ90" i="1"/>
  <c r="AQ91" i="1"/>
  <c r="AQ92" i="1"/>
  <c r="AQ6" i="1"/>
  <c r="AP32" i="1"/>
  <c r="AP14" i="1"/>
  <c r="AP15" i="1"/>
  <c r="AP16" i="1"/>
  <c r="AP13" i="1"/>
  <c r="AP7" i="1"/>
  <c r="AP8" i="1"/>
  <c r="AP9" i="1"/>
  <c r="AP10" i="1"/>
  <c r="AP11" i="1"/>
  <c r="AP18" i="1"/>
  <c r="AP19" i="1"/>
  <c r="AP20" i="1"/>
  <c r="AP21" i="1"/>
  <c r="AP22" i="1"/>
  <c r="AP23" i="1"/>
  <c r="AP25" i="1"/>
  <c r="AP26" i="1"/>
  <c r="AP27" i="1"/>
  <c r="AP28" i="1"/>
  <c r="AP29" i="1"/>
  <c r="AP30" i="1"/>
  <c r="AP31" i="1"/>
  <c r="AP36" i="1"/>
  <c r="AP37" i="1"/>
  <c r="AP38" i="1"/>
  <c r="AP39" i="1"/>
  <c r="AP41" i="1"/>
  <c r="AP42" i="1"/>
  <c r="AP43" i="1"/>
  <c r="AP44" i="1"/>
  <c r="AP45" i="1"/>
  <c r="AP46" i="1"/>
  <c r="AP48" i="1"/>
  <c r="AP49" i="1"/>
  <c r="AP50" i="1"/>
  <c r="AP51" i="1"/>
  <c r="AP52" i="1"/>
  <c r="AP53" i="1"/>
  <c r="AP55" i="1"/>
  <c r="AP56" i="1"/>
  <c r="AP57" i="1"/>
  <c r="AP58" i="1"/>
  <c r="AP59" i="1"/>
  <c r="AP73" i="1"/>
  <c r="AP74" i="1"/>
  <c r="AP76" i="1"/>
  <c r="AP77" i="1"/>
  <c r="AP78" i="1"/>
  <c r="AP79" i="1"/>
  <c r="AP81" i="1"/>
  <c r="AP82" i="1"/>
  <c r="AP84" i="1"/>
  <c r="AP85" i="1"/>
  <c r="AP86" i="1"/>
  <c r="AP87" i="1"/>
  <c r="AP89" i="1"/>
  <c r="AP90" i="1"/>
  <c r="AP91" i="1"/>
  <c r="AP92" i="1"/>
  <c r="AP6" i="1"/>
  <c r="AO7" i="1"/>
  <c r="AO8" i="1"/>
  <c r="AO9" i="1"/>
  <c r="AO10" i="1"/>
  <c r="AO11" i="1"/>
  <c r="AO13" i="1"/>
  <c r="AO14" i="1"/>
  <c r="AO15" i="1"/>
  <c r="AO16" i="1"/>
  <c r="AO18" i="1"/>
  <c r="AO19" i="1"/>
  <c r="AO20" i="1"/>
  <c r="AO21" i="1"/>
  <c r="AO22" i="1"/>
  <c r="AO23" i="1"/>
  <c r="AO25" i="1"/>
  <c r="AO26" i="1"/>
  <c r="AO27" i="1"/>
  <c r="AO28" i="1"/>
  <c r="AO29" i="1"/>
  <c r="AO30" i="1"/>
  <c r="AO31" i="1"/>
  <c r="AO32" i="1"/>
  <c r="AO36" i="1"/>
  <c r="AO37" i="1"/>
  <c r="AO38" i="1"/>
  <c r="AO39" i="1"/>
  <c r="AO41" i="1"/>
  <c r="AO42" i="1"/>
  <c r="AO43" i="1"/>
  <c r="AO44" i="1"/>
  <c r="AO45" i="1"/>
  <c r="AO46" i="1"/>
  <c r="AO48" i="1"/>
  <c r="AO49" i="1"/>
  <c r="AO50" i="1"/>
  <c r="AO51" i="1"/>
  <c r="AO52" i="1"/>
  <c r="AO53" i="1"/>
  <c r="AO55" i="1"/>
  <c r="AO56" i="1"/>
  <c r="AO57" i="1"/>
  <c r="AO58" i="1"/>
  <c r="AO59" i="1"/>
  <c r="AO66" i="1"/>
  <c r="AO70" i="1"/>
  <c r="AO73" i="1"/>
  <c r="AO74" i="1"/>
  <c r="AO76" i="1"/>
  <c r="AO77" i="1"/>
  <c r="AO78" i="1"/>
  <c r="AO79" i="1"/>
  <c r="AO81" i="1"/>
  <c r="AO82" i="1"/>
  <c r="AO84" i="1"/>
  <c r="AO85" i="1"/>
  <c r="AO86" i="1"/>
  <c r="AO87" i="1"/>
  <c r="AO89" i="1"/>
  <c r="AO90" i="1"/>
  <c r="AO91" i="1"/>
  <c r="AO92" i="1"/>
  <c r="AO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Leif Karlsson</author>
    <author>Asus</author>
  </authors>
  <commentList>
    <comment ref="K3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L3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K3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L3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K3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L3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K39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L3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K4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L4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K4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L4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K43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L43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K44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L44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K45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L45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K46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L4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K48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L48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K49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L49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K50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L50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K51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L51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K52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L52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K53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L53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K55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Leif Karlsson:</t>
        </r>
        <r>
          <rPr>
            <sz val="9"/>
            <color indexed="81"/>
            <rFont val="Tahoma"/>
            <family val="2"/>
          </rPr>
          <t xml:space="preserve">
Samma parametrar som H184</t>
        </r>
      </text>
    </comment>
    <comment ref="L55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Leif Karlsson:</t>
        </r>
        <r>
          <rPr>
            <sz val="9"/>
            <color indexed="81"/>
            <rFont val="Tahoma"/>
            <family val="2"/>
          </rPr>
          <t xml:space="preserve">
Samma parametrar som H184</t>
        </r>
      </text>
    </comment>
    <comment ref="K56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Leif Karlsson:</t>
        </r>
        <r>
          <rPr>
            <sz val="9"/>
            <color indexed="81"/>
            <rFont val="Tahoma"/>
            <family val="2"/>
          </rPr>
          <t xml:space="preserve">
Samma parametrar som H184</t>
        </r>
      </text>
    </comment>
    <comment ref="L56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Leif Karlsson:</t>
        </r>
        <r>
          <rPr>
            <sz val="9"/>
            <color indexed="81"/>
            <rFont val="Tahoma"/>
            <family val="2"/>
          </rPr>
          <t xml:space="preserve">
Samma parametrar som H184</t>
        </r>
      </text>
    </comment>
    <comment ref="B62" authorId="1" shapeId="0" xr:uid="{00000000-0006-0000-0100-000025000000}">
      <text>
        <r>
          <rPr>
            <b/>
            <sz val="9"/>
            <color indexed="81"/>
            <rFont val="Tahoma"/>
            <charset val="1"/>
          </rPr>
          <t>Omsvetsat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Leif Karlsson</author>
  </authors>
  <commentList>
    <comment ref="J3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J37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J38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J39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J4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J42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J4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J44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J45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J46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J48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J49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J50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J5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J52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Av AR79 &amp; AR89 measurements</t>
        </r>
      </text>
    </comment>
    <comment ref="J53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Av. AR79 &amp; AR89 measurements</t>
        </r>
      </text>
    </comment>
    <comment ref="J55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>Leif Karlsson:</t>
        </r>
        <r>
          <rPr>
            <sz val="9"/>
            <color indexed="81"/>
            <rFont val="Tahoma"/>
            <family val="2"/>
          </rPr>
          <t xml:space="preserve">
Samma parametrar som H184</t>
        </r>
      </text>
    </comment>
    <comment ref="J56" authorId="0" shapeId="0" xr:uid="{00000000-0006-0000-0800-000012000000}">
      <text>
        <r>
          <rPr>
            <b/>
            <sz val="9"/>
            <color indexed="81"/>
            <rFont val="Tahoma"/>
            <family val="2"/>
          </rPr>
          <t>Leif Karlsson:</t>
        </r>
        <r>
          <rPr>
            <sz val="9"/>
            <color indexed="81"/>
            <rFont val="Tahoma"/>
            <family val="2"/>
          </rPr>
          <t xml:space="preserve">
Samma parametrar som H184</t>
        </r>
      </text>
    </comment>
  </commentList>
</comments>
</file>

<file path=xl/sharedStrings.xml><?xml version="1.0" encoding="utf-8"?>
<sst xmlns="http://schemas.openxmlformats.org/spreadsheetml/2006/main" count="3165" uniqueCount="261">
  <si>
    <t>C-Le</t>
  </si>
  <si>
    <t>Si</t>
  </si>
  <si>
    <t>Mn</t>
  </si>
  <si>
    <t>P</t>
  </si>
  <si>
    <t>S-Le</t>
  </si>
  <si>
    <t>Cr</t>
  </si>
  <si>
    <t>Ni</t>
  </si>
  <si>
    <t>Mo</t>
  </si>
  <si>
    <t>W</t>
  </si>
  <si>
    <t>Co</t>
  </si>
  <si>
    <t>V</t>
  </si>
  <si>
    <t>Nb</t>
  </si>
  <si>
    <t>Cu</t>
  </si>
  <si>
    <t>Al</t>
  </si>
  <si>
    <t>Sn</t>
  </si>
  <si>
    <t>Ti</t>
  </si>
  <si>
    <t>Pb</t>
  </si>
  <si>
    <t>As</t>
  </si>
  <si>
    <t>Sb</t>
  </si>
  <si>
    <t>Zr</t>
  </si>
  <si>
    <t>B</t>
  </si>
  <si>
    <t>Zn</t>
  </si>
  <si>
    <t>Ca</t>
  </si>
  <si>
    <t>Mg</t>
  </si>
  <si>
    <t>O</t>
  </si>
  <si>
    <t>N</t>
  </si>
  <si>
    <t>Base material</t>
  </si>
  <si>
    <t>Consumable</t>
  </si>
  <si>
    <t>Joint type</t>
  </si>
  <si>
    <t>Test No.</t>
  </si>
  <si>
    <t>Chemical analysis (wt.%)</t>
  </si>
  <si>
    <r>
      <t>t</t>
    </r>
    <r>
      <rPr>
        <b/>
        <vertAlign val="subscript"/>
        <sz val="12"/>
        <color theme="1"/>
        <rFont val="Calibri"/>
        <family val="2"/>
        <scheme val="minor"/>
      </rPr>
      <t>8/5</t>
    </r>
    <r>
      <rPr>
        <b/>
        <sz val="11"/>
        <color theme="1"/>
        <rFont val="Calibri"/>
        <family val="2"/>
        <scheme val="minor"/>
      </rPr>
      <t xml:space="preserve"> (s)</t>
    </r>
  </si>
  <si>
    <t>Weld</t>
  </si>
  <si>
    <t>Welding Method</t>
  </si>
  <si>
    <t>MMA</t>
  </si>
  <si>
    <r>
      <rPr>
        <b/>
        <sz val="11"/>
        <color theme="1"/>
        <rFont val="Symbol"/>
        <family val="1"/>
        <charset val="2"/>
      </rPr>
      <t>Æ</t>
    </r>
    <r>
      <rPr>
        <b/>
        <sz val="11"/>
        <color theme="1"/>
        <rFont val="Calibri"/>
        <family val="2"/>
      </rPr>
      <t xml:space="preserve"> (mm)</t>
    </r>
  </si>
  <si>
    <t>3.2</t>
  </si>
  <si>
    <t>OK 75.78</t>
  </si>
  <si>
    <t>OK 73.15</t>
  </si>
  <si>
    <t>¾</t>
  </si>
  <si>
    <t>ISO EN 1.2</t>
  </si>
  <si>
    <t>Weldox 700</t>
  </si>
  <si>
    <t>Weldox 1100</t>
  </si>
  <si>
    <r>
      <t xml:space="preserve">60 </t>
    </r>
    <r>
      <rPr>
        <vertAlign val="superscript"/>
        <sz val="10"/>
        <rFont val="Arial"/>
        <family val="2"/>
      </rPr>
      <t>o</t>
    </r>
    <r>
      <rPr>
        <sz val="11"/>
        <color theme="1"/>
        <rFont val="Calibri"/>
        <family val="2"/>
        <scheme val="minor"/>
      </rPr>
      <t>V</t>
    </r>
  </si>
  <si>
    <t xml:space="preserve"> 5-6</t>
  </si>
  <si>
    <t>appr. 15</t>
  </si>
  <si>
    <t>&lt;0.001</t>
  </si>
  <si>
    <t>&lt;0.002</t>
  </si>
  <si>
    <t>&lt;0.0002</t>
  </si>
  <si>
    <t>&lt;0,001</t>
  </si>
  <si>
    <t>&lt;0,002</t>
  </si>
  <si>
    <t>Coreweld 89</t>
  </si>
  <si>
    <t>OK Aristorod 79</t>
  </si>
  <si>
    <t>H184</t>
  </si>
  <si>
    <t>MAG</t>
  </si>
  <si>
    <t>rapid</t>
  </si>
  <si>
    <t>slow</t>
  </si>
  <si>
    <t>OK Aristorod 89</t>
  </si>
  <si>
    <t>HV No.</t>
  </si>
  <si>
    <t>Laser-Hybrid</t>
  </si>
  <si>
    <t>50/54</t>
  </si>
  <si>
    <t>55/59</t>
  </si>
  <si>
    <t>&lt;0,0004</t>
  </si>
  <si>
    <t>SAW</t>
  </si>
  <si>
    <t>ISO EN 1.3</t>
  </si>
  <si>
    <t>9?</t>
  </si>
  <si>
    <t>2.4</t>
  </si>
  <si>
    <t>OK Flux 10.63/DA090</t>
  </si>
  <si>
    <t>OK Flux 10.63/DA091</t>
  </si>
  <si>
    <t>Tensile specimens</t>
  </si>
  <si>
    <t>Macro, cross section or surface?</t>
  </si>
  <si>
    <t>Macro or tensile?</t>
  </si>
  <si>
    <t>17-18</t>
  </si>
  <si>
    <t>19-20</t>
  </si>
  <si>
    <t>AWM</t>
  </si>
  <si>
    <t>Steel</t>
  </si>
  <si>
    <t>Rapid Arc</t>
  </si>
  <si>
    <t>Plasma</t>
  </si>
  <si>
    <t>Tvärsprickor - ska svetsas om</t>
  </si>
  <si>
    <t>(6 mm compared to ordinary 12 mm)</t>
  </si>
  <si>
    <t>Väntar på kemanalys</t>
  </si>
  <si>
    <t>Weld pad</t>
  </si>
  <si>
    <t>Macro, cross section, OES analyses on reduced area</t>
  </si>
  <si>
    <t>1.2</t>
  </si>
  <si>
    <t>t=12 mm</t>
  </si>
  <si>
    <t>Wire</t>
  </si>
  <si>
    <t>&lt;0,01</t>
  </si>
  <si>
    <t>Weld pad svetsat på HV</t>
  </si>
  <si>
    <t>Pad</t>
  </si>
  <si>
    <t>SSAB</t>
  </si>
  <si>
    <t>Macro, cross section</t>
  </si>
  <si>
    <t>Macro, top surface, OES</t>
  </si>
  <si>
    <t>Macro, analys 2</t>
  </si>
  <si>
    <t>Macro, analys 1</t>
  </si>
  <si>
    <t>Macro, analys 1, enbart OES</t>
  </si>
  <si>
    <t>ESAB</t>
  </si>
  <si>
    <t>&lt;0,0005</t>
  </si>
  <si>
    <t>&lt;0,005</t>
  </si>
  <si>
    <t>&lt;0,,005</t>
  </si>
  <si>
    <t>Ej provade, maskgångar och porer</t>
  </si>
  <si>
    <t>Macro, top, enbart OES</t>
  </si>
  <si>
    <t>CE(IIW) = C + Mn/6 + (Cu + Ni)/15 + (Cr + Mo + V)/5 [wt%]</t>
  </si>
  <si>
    <t>Pcm = C + Si/30 + Mn/20 + Cu/20 + Ni/60 + Cr/20 + Mo/15 +V/10 + 5B [wt%]</t>
  </si>
  <si>
    <t>CEn = C + f(C) { Si/24 + Mn/6 + Cu/15 + Ni/20 + (Cr + Mo + Nb + V)/5 } [wt%]</t>
  </si>
  <si>
    <r>
      <t>CE</t>
    </r>
    <r>
      <rPr>
        <b/>
        <vertAlign val="subscript"/>
        <sz val="10"/>
        <rFont val="Arial"/>
        <family val="2"/>
      </rPr>
      <t>IIW</t>
    </r>
  </si>
  <si>
    <t>Pcm</t>
  </si>
  <si>
    <t>C-equivalents</t>
  </si>
  <si>
    <t>CEn</t>
  </si>
  <si>
    <t>Comments</t>
  </si>
  <si>
    <t>CET</t>
  </si>
  <si>
    <t xml:space="preserve">where, f(C) = 0.75 + 0.25 tanh { 20 (C - 0.12) } [wt%] </t>
  </si>
  <si>
    <t>C</t>
  </si>
  <si>
    <t>Dilution (%)</t>
  </si>
  <si>
    <t>Xf; % of element in all-weld metal (or filler)</t>
  </si>
  <si>
    <t>Xw; % of element in weld metal</t>
  </si>
  <si>
    <t>Xb; % of element in base material</t>
  </si>
  <si>
    <t>D=100*(Xw-Xf)/(Xb-Xf)(%)</t>
  </si>
  <si>
    <t>Welding method</t>
  </si>
  <si>
    <t>OK 75.78: AWM</t>
  </si>
  <si>
    <t>OK 75.78: joint</t>
  </si>
  <si>
    <t>OK 73.15: AWM</t>
  </si>
  <si>
    <t>OK 73.15: joint</t>
  </si>
  <si>
    <t xml:space="preserve">Rapid </t>
  </si>
  <si>
    <t xml:space="preserve">Slow </t>
  </si>
  <si>
    <t>X</t>
  </si>
  <si>
    <t>Test 1; porosity</t>
  </si>
  <si>
    <t>Test 2</t>
  </si>
  <si>
    <t>Aristorod 79</t>
  </si>
  <si>
    <t>Aristorod 89</t>
  </si>
  <si>
    <t>Rapid 
Arc</t>
  </si>
  <si>
    <t>Only 1 cooling rate.</t>
  </si>
  <si>
    <t>AWM = all-weld metal</t>
  </si>
  <si>
    <t>OK Flux 10.63/
DA090: AWM</t>
  </si>
  <si>
    <t>OK Flux 10.63/
DA090: joint</t>
  </si>
  <si>
    <t>OOK Flux 10.63/
DA091: AWM</t>
  </si>
  <si>
    <t>OK Flux 10.63/
DA091: joint</t>
  </si>
  <si>
    <t>Only solid wire</t>
  </si>
  <si>
    <t>Cooling rate?</t>
  </si>
  <si>
    <t>Aristorod 79: AWM</t>
  </si>
  <si>
    <t>Coreweld 89: AWM</t>
  </si>
  <si>
    <t>Aristorod 89: AWM</t>
  </si>
  <si>
    <t>H184: AWM</t>
  </si>
  <si>
    <t>ESAB data</t>
  </si>
  <si>
    <t>Steel/Consumable</t>
  </si>
  <si>
    <t>S</t>
  </si>
  <si>
    <t>3, 6</t>
  </si>
  <si>
    <t>38, 39</t>
  </si>
  <si>
    <t>41, 26</t>
  </si>
  <si>
    <t>29, 28</t>
  </si>
  <si>
    <t>33, 30</t>
  </si>
  <si>
    <t>32, 31</t>
  </si>
  <si>
    <t>39, 21</t>
  </si>
  <si>
    <r>
      <t xml:space="preserve">30 </t>
    </r>
    <r>
      <rPr>
        <vertAlign val="superscript"/>
        <sz val="10"/>
        <rFont val="Arial"/>
        <family val="2"/>
      </rPr>
      <t>o</t>
    </r>
    <r>
      <rPr>
        <sz val="11"/>
        <color theme="1"/>
        <rFont val="Calibri"/>
        <family val="2"/>
        <scheme val="minor"/>
      </rPr>
      <t>V</t>
    </r>
  </si>
  <si>
    <r>
      <t xml:space="preserve">7 </t>
    </r>
    <r>
      <rPr>
        <vertAlign val="superscript"/>
        <sz val="10"/>
        <rFont val="Arial"/>
        <family val="2"/>
      </rPr>
      <t>o</t>
    </r>
    <r>
      <rPr>
        <sz val="11"/>
        <color theme="1"/>
        <rFont val="Calibri"/>
        <family val="2"/>
        <scheme val="minor"/>
      </rPr>
      <t>V</t>
    </r>
  </si>
  <si>
    <t>I-fog</t>
  </si>
  <si>
    <t>No. of beads</t>
  </si>
  <si>
    <t>8?</t>
  </si>
  <si>
    <t>7?</t>
  </si>
  <si>
    <t>Macro, analys 1, enbart OES på toppsträng</t>
  </si>
  <si>
    <t>Macro, analys 2, 
OES på toppsträng</t>
  </si>
  <si>
    <t>Side bend test</t>
  </si>
  <si>
    <t>Rp0,2 
(MPa)</t>
  </si>
  <si>
    <t>Rm 
(MPa)</t>
  </si>
  <si>
    <t>A5 
(%)</t>
  </si>
  <si>
    <t>TT 
(MPa)</t>
  </si>
  <si>
    <t>Weld metal Charpy-V impact toughness</t>
  </si>
  <si>
    <t>Weld metal longitudinal tensile strength</t>
  </si>
  <si>
    <t>Transverse tensile test</t>
  </si>
  <si>
    <t>Not tested</t>
  </si>
  <si>
    <t>839 (Base Metal)</t>
  </si>
  <si>
    <t>No remarks</t>
  </si>
  <si>
    <t>825 (Base Metal)</t>
  </si>
  <si>
    <t>1071 (Fusion Line)</t>
  </si>
  <si>
    <t>1056 (Fusion Line)</t>
  </si>
  <si>
    <t>825 base</t>
  </si>
  <si>
    <t>Crack 1mm, root HAZ</t>
  </si>
  <si>
    <t>839 base</t>
  </si>
  <si>
    <t>795 base</t>
  </si>
  <si>
    <t>1115 HAZ</t>
  </si>
  <si>
    <t>1060 HAZ</t>
  </si>
  <si>
    <t>974 HAZ</t>
  </si>
  <si>
    <t>No straining of weld metal probably due to too large difference in strength between weld metal and base metal.</t>
  </si>
  <si>
    <t>Cv at 0ºC (J)</t>
  </si>
  <si>
    <t>813 Base material</t>
  </si>
  <si>
    <t>Crack &lt;3mm</t>
  </si>
  <si>
    <t>809 Base material</t>
  </si>
  <si>
    <t>834 Base material</t>
  </si>
  <si>
    <t>820 Base material</t>
  </si>
  <si>
    <t>1056 Fusion line</t>
  </si>
  <si>
    <t>1042 Fusion line</t>
  </si>
  <si>
    <t>Full fracture</t>
  </si>
  <si>
    <t>1142 Fusion line</t>
  </si>
  <si>
    <t>815 Base material</t>
  </si>
  <si>
    <t>specimen broke at threads</t>
  </si>
  <si>
    <t>Cv at -20ºC (J)</t>
  </si>
  <si>
    <t>Cv at +20ºC (J)</t>
  </si>
  <si>
    <t>Cv at -40ºC (J)</t>
  </si>
  <si>
    <t>Cv at -60ºC (J)</t>
  </si>
  <si>
    <t>Cv at -80ºC (J)</t>
  </si>
  <si>
    <t>No rematks</t>
  </si>
  <si>
    <t>Long. crack 2 mm</t>
  </si>
  <si>
    <t>Cracked</t>
  </si>
  <si>
    <t>794 base material</t>
  </si>
  <si>
    <t>778 HAZ</t>
  </si>
  <si>
    <t>810 base material</t>
  </si>
  <si>
    <t>795 HAZ/ base mat.</t>
  </si>
  <si>
    <t>1086 HAZ</t>
  </si>
  <si>
    <t>948 weld metal</t>
  </si>
  <si>
    <t>Cv at
+20ºC (J)</t>
  </si>
  <si>
    <r>
      <t>Cv at 0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 (J)</t>
    </r>
  </si>
  <si>
    <r>
      <t>Cv at 
-20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 (J)</t>
    </r>
  </si>
  <si>
    <r>
      <t>Cv at 
-40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 (J)</t>
    </r>
  </si>
  <si>
    <r>
      <t>Cv at 
-60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 (J)</t>
    </r>
  </si>
  <si>
    <r>
      <t>Cv at 
-80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 (J)</t>
    </r>
  </si>
  <si>
    <t>1068 HAZ/ base mat.</t>
  </si>
  <si>
    <t>990 HAZ/ base mat.</t>
  </si>
  <si>
    <t>Typical from PDS</t>
  </si>
  <si>
    <t>Typical from broschure</t>
  </si>
  <si>
    <t>Troligen inte aktuella</t>
  </si>
  <si>
    <t>cw89_1</t>
  </si>
  <si>
    <t>cw89_2</t>
  </si>
  <si>
    <t>H184_1</t>
  </si>
  <si>
    <t>ar79_1</t>
  </si>
  <si>
    <t>ar79_2</t>
  </si>
  <si>
    <t>Ar89_1</t>
  </si>
  <si>
    <t>ar89_2</t>
  </si>
  <si>
    <t>15s</t>
  </si>
  <si>
    <t>10s</t>
  </si>
  <si>
    <t>H184_2</t>
  </si>
  <si>
    <t xml:space="preserve"> 5-6 ber</t>
  </si>
  <si>
    <t xml:space="preserve"> 6-7 ber</t>
  </si>
  <si>
    <r>
      <t>t</t>
    </r>
    <r>
      <rPr>
        <b/>
        <vertAlign val="subscript"/>
        <sz val="12"/>
        <color theme="1"/>
        <rFont val="Calibri"/>
        <family val="2"/>
        <scheme val="minor"/>
      </rPr>
      <t>8/5</t>
    </r>
    <r>
      <rPr>
        <b/>
        <sz val="11"/>
        <color theme="1"/>
        <rFont val="Calibri"/>
        <family val="2"/>
        <scheme val="minor"/>
      </rPr>
      <t xml:space="preserve"> (s) calc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</si>
  <si>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8/5</t>
    </r>
    <r>
      <rPr>
        <b/>
        <sz val="11"/>
        <color theme="1"/>
        <rFont val="Calibri"/>
        <family val="2"/>
        <scheme val="minor"/>
      </rPr>
      <t xml:space="preserve"> (s) exp</t>
    </r>
  </si>
  <si>
    <t>6-7</t>
  </si>
  <si>
    <t>13-16</t>
  </si>
  <si>
    <t>5-6</t>
  </si>
  <si>
    <t>9 ber</t>
  </si>
  <si>
    <t>CET = C + (Mn+Mo)/10 + (Cr+Cu)/20 + Ni/40  [wt%]</t>
  </si>
  <si>
    <t>&lt;0.01</t>
  </si>
  <si>
    <t>&lt;0.005</t>
  </si>
  <si>
    <t>Omsvetsat</t>
  </si>
  <si>
    <t>1075 Fusion line</t>
  </si>
  <si>
    <t>-</t>
  </si>
  <si>
    <t>995 Fusion line</t>
  </si>
  <si>
    <t>Not enough defect free material</t>
  </si>
  <si>
    <t>833  Base material</t>
  </si>
  <si>
    <t>1100 Fusion line</t>
  </si>
  <si>
    <t>2 cooling rates ?</t>
  </si>
  <si>
    <t>7s</t>
  </si>
  <si>
    <t>11s</t>
  </si>
  <si>
    <t>5s, 7s</t>
  </si>
  <si>
    <t>5s</t>
  </si>
  <si>
    <t>6s</t>
  </si>
  <si>
    <t>10s,6s</t>
  </si>
  <si>
    <t>14s, 12s</t>
  </si>
  <si>
    <t>10s, 8s</t>
  </si>
  <si>
    <t>14s, 13s</t>
  </si>
  <si>
    <t>10s, 7s</t>
  </si>
  <si>
    <t>14s, 11s</t>
  </si>
  <si>
    <t>12s</t>
  </si>
  <si>
    <t>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</si>
</sst>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vertAlign val="subscript"/>
      <sz val="12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2"/>
    </font>
    <font>
      <sz val="11"/>
      <color theme="1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vertAlign val="subscript"/>
      <sz val="10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name val="Arial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2">
    <xf numFmtId="0" fontId="0" fillId="0" borderId="0" xfId="0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0" xfId="0" applyFill="1" applyAlignment="1">
      <alignment horizontal="left"/>
    </xf>
    <xf numFmtId="165" fontId="0" fillId="0" borderId="14" xfId="0" applyNumberFormat="1" applyBorder="1" applyAlignment="1">
      <alignment horizontal="center"/>
    </xf>
    <xf numFmtId="0" fontId="0" fillId="0" borderId="15" xfId="0" applyBorder="1"/>
    <xf numFmtId="0" fontId="0" fillId="5" borderId="15" xfId="0" applyFill="1" applyBorder="1"/>
    <xf numFmtId="0" fontId="0" fillId="0" borderId="9" xfId="0" applyBorder="1"/>
    <xf numFmtId="0" fontId="0" fillId="0" borderId="13" xfId="0" applyBorder="1"/>
    <xf numFmtId="0" fontId="0" fillId="6" borderId="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5" xfId="0" applyFill="1" applyBorder="1"/>
    <xf numFmtId="0" fontId="0" fillId="6" borderId="0" xfId="0" applyFill="1" applyAlignment="1">
      <alignment horizontal="left"/>
    </xf>
    <xf numFmtId="0" fontId="9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/>
    </xf>
    <xf numFmtId="0" fontId="6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2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3" xfId="0" applyBorder="1"/>
    <xf numFmtId="0" fontId="0" fillId="2" borderId="0" xfId="0" applyFill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23" xfId="0" applyFill="1" applyBorder="1"/>
    <xf numFmtId="0" fontId="0" fillId="3" borderId="22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22" xfId="0" applyBorder="1" applyAlignment="1">
      <alignment horizontal="center" vertical="center"/>
    </xf>
    <xf numFmtId="165" fontId="0" fillId="0" borderId="0" xfId="0" applyNumberFormat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15" xfId="0" applyBorder="1" applyAlignment="1">
      <alignment vertical="center" wrapText="1"/>
    </xf>
    <xf numFmtId="0" fontId="11" fillId="0" borderId="28" xfId="0" applyFont="1" applyBorder="1" applyAlignment="1">
      <alignment horizontal="center"/>
    </xf>
    <xf numFmtId="0" fontId="0" fillId="0" borderId="16" xfId="0" applyBorder="1"/>
    <xf numFmtId="0" fontId="0" fillId="0" borderId="29" xfId="0" applyBorder="1" applyAlignment="1">
      <alignment horizontal="center"/>
    </xf>
    <xf numFmtId="0" fontId="0" fillId="0" borderId="17" xfId="0" applyBorder="1"/>
    <xf numFmtId="2" fontId="0" fillId="0" borderId="30" xfId="0" applyNumberFormat="1" applyBorder="1" applyAlignment="1">
      <alignment horizontal="center"/>
    </xf>
    <xf numFmtId="2" fontId="0" fillId="0" borderId="3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left"/>
    </xf>
    <xf numFmtId="2" fontId="0" fillId="0" borderId="31" xfId="0" applyNumberFormat="1" applyBorder="1" applyAlignment="1">
      <alignment horizontal="center"/>
    </xf>
    <xf numFmtId="2" fontId="0" fillId="0" borderId="31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0" fillId="0" borderId="32" xfId="0" applyBorder="1"/>
    <xf numFmtId="2" fontId="9" fillId="0" borderId="24" xfId="0" applyNumberFormat="1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8" fillId="0" borderId="0" xfId="0" applyFont="1"/>
    <xf numFmtId="0" fontId="11" fillId="0" borderId="34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0" fillId="0" borderId="46" xfId="0" applyBorder="1"/>
    <xf numFmtId="0" fontId="2" fillId="0" borderId="4" xfId="0" applyFont="1" applyBorder="1" applyAlignment="1">
      <alignment horizontal="center"/>
    </xf>
    <xf numFmtId="0" fontId="0" fillId="0" borderId="19" xfId="0" applyBorder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0" fontId="0" fillId="0" borderId="24" xfId="0" applyBorder="1"/>
    <xf numFmtId="165" fontId="0" fillId="0" borderId="4" xfId="0" applyNumberFormat="1" applyBorder="1" applyAlignment="1">
      <alignment horizontal="center"/>
    </xf>
    <xf numFmtId="0" fontId="2" fillId="0" borderId="10" xfId="0" applyFon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Border="1"/>
    <xf numFmtId="0" fontId="0" fillId="0" borderId="10" xfId="0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11" fillId="7" borderId="28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1" fillId="7" borderId="33" xfId="0" applyFont="1" applyFill="1" applyBorder="1" applyAlignment="1">
      <alignment horizontal="center"/>
    </xf>
    <xf numFmtId="0" fontId="0" fillId="7" borderId="16" xfId="0" applyFill="1" applyBorder="1"/>
    <xf numFmtId="0" fontId="0" fillId="7" borderId="29" xfId="0" applyFill="1" applyBorder="1" applyAlignment="1">
      <alignment horizontal="center"/>
    </xf>
    <xf numFmtId="0" fontId="0" fillId="7" borderId="32" xfId="0" applyFill="1" applyBorder="1"/>
    <xf numFmtId="0" fontId="0" fillId="7" borderId="17" xfId="0" applyFill="1" applyBorder="1"/>
    <xf numFmtId="2" fontId="0" fillId="7" borderId="30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7" borderId="31" xfId="0" applyNumberFormat="1" applyFill="1" applyBorder="1" applyAlignment="1">
      <alignment horizontal="center"/>
    </xf>
    <xf numFmtId="2" fontId="9" fillId="7" borderId="24" xfId="0" applyNumberFormat="1" applyFon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2" fontId="9" fillId="7" borderId="6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5" fontId="0" fillId="9" borderId="30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9" borderId="30" xfId="0" applyNumberFormat="1" applyFill="1" applyBorder="1" applyAlignment="1">
      <alignment horizontal="center"/>
    </xf>
    <xf numFmtId="165" fontId="0" fillId="9" borderId="4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5" fontId="0" fillId="0" borderId="47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2" fontId="0" fillId="0" borderId="48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9" fillId="0" borderId="37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/>
    <xf numFmtId="1" fontId="0" fillId="0" borderId="29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30" xfId="0" applyBorder="1"/>
    <xf numFmtId="0" fontId="0" fillId="0" borderId="24" xfId="0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" fontId="0" fillId="10" borderId="1" xfId="0" applyNumberFormat="1" applyFill="1" applyBorder="1" applyAlignment="1">
      <alignment horizontal="center" vertical="center"/>
    </xf>
    <xf numFmtId="1" fontId="0" fillId="10" borderId="5" xfId="0" applyNumberFormat="1" applyFill="1" applyBorder="1" applyAlignment="1">
      <alignment horizontal="center" vertical="center"/>
    </xf>
    <xf numFmtId="0" fontId="11" fillId="10" borderId="28" xfId="0" applyFont="1" applyFill="1" applyBorder="1" applyAlignment="1">
      <alignment horizontal="center"/>
    </xf>
    <xf numFmtId="1" fontId="0" fillId="0" borderId="0" xfId="0" applyNumberFormat="1"/>
    <xf numFmtId="0" fontId="1" fillId="4" borderId="3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wrapText="1"/>
    </xf>
    <xf numFmtId="0" fontId="1" fillId="0" borderId="56" xfId="0" applyFont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165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left"/>
    </xf>
    <xf numFmtId="0" fontId="0" fillId="11" borderId="0" xfId="0" applyFill="1"/>
    <xf numFmtId="165" fontId="0" fillId="11" borderId="23" xfId="0" applyNumberFormat="1" applyFill="1" applyBorder="1" applyAlignment="1">
      <alignment horizontal="center"/>
    </xf>
    <xf numFmtId="2" fontId="0" fillId="12" borderId="30" xfId="0" applyNumberFormat="1" applyFill="1" applyBorder="1" applyAlignment="1">
      <alignment horizontal="center"/>
    </xf>
    <xf numFmtId="2" fontId="0" fillId="13" borderId="30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2" fontId="0" fillId="13" borderId="31" xfId="0" applyNumberFormat="1" applyFill="1" applyBorder="1" applyAlignment="1">
      <alignment horizontal="center"/>
    </xf>
    <xf numFmtId="2" fontId="9" fillId="13" borderId="24" xfId="0" applyNumberFormat="1" applyFont="1" applyFill="1" applyBorder="1" applyAlignment="1">
      <alignment horizontal="center"/>
    </xf>
    <xf numFmtId="2" fontId="9" fillId="12" borderId="24" xfId="0" applyNumberFormat="1" applyFont="1" applyFill="1" applyBorder="1" applyAlignment="1">
      <alignment horizontal="center"/>
    </xf>
    <xf numFmtId="2" fontId="0" fillId="12" borderId="30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12" borderId="31" xfId="0" applyNumberFormat="1" applyFill="1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0" fillId="0" borderId="57" xfId="0" applyBorder="1"/>
    <xf numFmtId="0" fontId="0" fillId="0" borderId="23" xfId="0" applyBorder="1" applyAlignment="1">
      <alignment vertical="center"/>
    </xf>
    <xf numFmtId="0" fontId="0" fillId="0" borderId="58" xfId="0" applyBorder="1"/>
    <xf numFmtId="0" fontId="0" fillId="0" borderId="59" xfId="0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13" borderId="24" xfId="0" applyNumberFormat="1" applyFill="1" applyBorder="1" applyAlignment="1">
      <alignment horizontal="center"/>
    </xf>
    <xf numFmtId="2" fontId="0" fillId="13" borderId="5" xfId="0" applyNumberFormat="1" applyFill="1" applyBorder="1" applyAlignment="1">
      <alignment horizontal="center"/>
    </xf>
    <xf numFmtId="2" fontId="0" fillId="13" borderId="10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2" fontId="0" fillId="12" borderId="31" xfId="0" applyNumberFormat="1" applyFill="1" applyBorder="1" applyAlignment="1">
      <alignment horizontal="center"/>
    </xf>
    <xf numFmtId="0" fontId="0" fillId="0" borderId="22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0" fillId="0" borderId="4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2" xfId="0" applyBorder="1" applyAlignment="1">
      <alignment vertical="center"/>
    </xf>
    <xf numFmtId="0" fontId="8" fillId="0" borderId="28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23" xfId="0" applyFont="1" applyBorder="1" applyAlignment="1">
      <alignment horizontal="center"/>
    </xf>
    <xf numFmtId="0" fontId="11" fillId="0" borderId="2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/>
    <xf numFmtId="2" fontId="0" fillId="0" borderId="2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1" fontId="1" fillId="0" borderId="6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15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64" fontId="0" fillId="0" borderId="22" xfId="0" applyNumberFormat="1" applyBorder="1"/>
    <xf numFmtId="164" fontId="0" fillId="0" borderId="0" xfId="0" applyNumberFormat="1"/>
    <xf numFmtId="164" fontId="0" fillId="0" borderId="23" xfId="0" applyNumberFormat="1" applyBorder="1"/>
    <xf numFmtId="1" fontId="0" fillId="0" borderId="0" xfId="0" applyNumberFormat="1" applyAlignment="1">
      <alignment horizontal="center"/>
    </xf>
    <xf numFmtId="1" fontId="0" fillId="0" borderId="26" xfId="0" applyNumberFormat="1" applyBorder="1"/>
    <xf numFmtId="0" fontId="0" fillId="9" borderId="12" xfId="0" applyFill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5" borderId="66" xfId="0" applyFill="1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0" fillId="9" borderId="22" xfId="0" applyFill="1" applyBorder="1"/>
    <xf numFmtId="0" fontId="0" fillId="9" borderId="0" xfId="0" applyFill="1"/>
    <xf numFmtId="0" fontId="1" fillId="9" borderId="15" xfId="0" applyFont="1" applyFill="1" applyBorder="1" applyAlignment="1">
      <alignment horizontal="center"/>
    </xf>
    <xf numFmtId="0" fontId="0" fillId="9" borderId="15" xfId="0" applyFill="1" applyBorder="1"/>
    <xf numFmtId="0" fontId="15" fillId="9" borderId="15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9" borderId="4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9" borderId="24" xfId="0" applyFill="1" applyBorder="1" applyAlignment="1">
      <alignment horizontal="center" wrapText="1"/>
    </xf>
    <xf numFmtId="0" fontId="0" fillId="9" borderId="35" xfId="0" applyFill="1" applyBorder="1" applyAlignment="1">
      <alignment horizontal="center" wrapText="1"/>
    </xf>
    <xf numFmtId="0" fontId="0" fillId="9" borderId="55" xfId="0" applyFill="1" applyBorder="1" applyAlignment="1">
      <alignment horizontal="center" wrapText="1"/>
    </xf>
    <xf numFmtId="0" fontId="1" fillId="9" borderId="38" xfId="0" applyFont="1" applyFill="1" applyBorder="1" applyAlignment="1">
      <alignment horizontal="center" vertical="center"/>
    </xf>
    <xf numFmtId="0" fontId="1" fillId="9" borderId="56" xfId="0" applyFont="1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24" xfId="0" applyFon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2" fontId="0" fillId="9" borderId="5" xfId="0" applyNumberFormat="1" applyFill="1" applyBorder="1" applyAlignment="1">
      <alignment horizontal="center"/>
    </xf>
    <xf numFmtId="0" fontId="0" fillId="9" borderId="42" xfId="0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9" borderId="43" xfId="0" applyFill="1" applyBorder="1"/>
    <xf numFmtId="0" fontId="6" fillId="9" borderId="12" xfId="0" applyFont="1" applyFill="1" applyBorder="1" applyAlignment="1">
      <alignment horizontal="center"/>
    </xf>
    <xf numFmtId="0" fontId="0" fillId="9" borderId="12" xfId="0" applyFill="1" applyBorder="1"/>
    <xf numFmtId="2" fontId="0" fillId="9" borderId="12" xfId="0" applyNumberFormat="1" applyFill="1" applyBorder="1" applyAlignment="1">
      <alignment horizontal="center"/>
    </xf>
    <xf numFmtId="165" fontId="0" fillId="9" borderId="12" xfId="0" applyNumberFormat="1" applyFill="1" applyBorder="1" applyAlignment="1">
      <alignment horizontal="center"/>
    </xf>
    <xf numFmtId="166" fontId="0" fillId="9" borderId="12" xfId="0" applyNumberFormat="1" applyFill="1" applyBorder="1" applyAlignment="1">
      <alignment horizontal="center"/>
    </xf>
    <xf numFmtId="2" fontId="9" fillId="9" borderId="12" xfId="0" applyNumberFormat="1" applyFont="1" applyFill="1" applyBorder="1" applyAlignment="1">
      <alignment horizontal="center"/>
    </xf>
    <xf numFmtId="0" fontId="0" fillId="9" borderId="1" xfId="0" applyFill="1" applyBorder="1"/>
    <xf numFmtId="166" fontId="0" fillId="9" borderId="1" xfId="0" applyNumberFormat="1" applyFill="1" applyBorder="1" applyAlignment="1">
      <alignment horizontal="center"/>
    </xf>
    <xf numFmtId="2" fontId="9" fillId="9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0" fillId="9" borderId="28" xfId="0" applyFill="1" applyBorder="1"/>
    <xf numFmtId="165" fontId="0" fillId="9" borderId="28" xfId="0" applyNumberFormat="1" applyFill="1" applyBorder="1" applyAlignment="1">
      <alignment horizontal="center"/>
    </xf>
    <xf numFmtId="2" fontId="0" fillId="9" borderId="28" xfId="0" applyNumberFormat="1" applyFill="1" applyBorder="1" applyAlignment="1">
      <alignment horizontal="center"/>
    </xf>
    <xf numFmtId="164" fontId="0" fillId="9" borderId="28" xfId="0" applyNumberFormat="1" applyFill="1" applyBorder="1" applyAlignment="1">
      <alignment horizontal="center"/>
    </xf>
    <xf numFmtId="166" fontId="0" fillId="9" borderId="28" xfId="0" applyNumberFormat="1" applyFill="1" applyBorder="1" applyAlignment="1">
      <alignment horizontal="center"/>
    </xf>
    <xf numFmtId="2" fontId="9" fillId="9" borderId="28" xfId="0" applyNumberFormat="1" applyFon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29" xfId="0" applyFill="1" applyBorder="1"/>
    <xf numFmtId="165" fontId="0" fillId="9" borderId="29" xfId="0" applyNumberFormat="1" applyFill="1" applyBorder="1" applyAlignment="1">
      <alignment horizontal="center"/>
    </xf>
    <xf numFmtId="2" fontId="0" fillId="9" borderId="29" xfId="0" applyNumberFormat="1" applyFill="1" applyBorder="1" applyAlignment="1">
      <alignment horizontal="center"/>
    </xf>
    <xf numFmtId="164" fontId="0" fillId="9" borderId="29" xfId="0" applyNumberFormat="1" applyFill="1" applyBorder="1" applyAlignment="1">
      <alignment horizontal="center"/>
    </xf>
    <xf numFmtId="166" fontId="0" fillId="9" borderId="29" xfId="0" applyNumberFormat="1" applyFill="1" applyBorder="1" applyAlignment="1">
      <alignment horizontal="center"/>
    </xf>
    <xf numFmtId="2" fontId="9" fillId="9" borderId="29" xfId="0" applyNumberFormat="1" applyFont="1" applyFill="1" applyBorder="1" applyAlignment="1">
      <alignment horizontal="center"/>
    </xf>
    <xf numFmtId="1" fontId="0" fillId="9" borderId="29" xfId="0" applyNumberFormat="1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50" xfId="0" applyFill="1" applyBorder="1"/>
    <xf numFmtId="2" fontId="0" fillId="9" borderId="16" xfId="0" applyNumberForma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4" xfId="0" applyFill="1" applyBorder="1"/>
    <xf numFmtId="0" fontId="0" fillId="9" borderId="30" xfId="0" applyFill="1" applyBorder="1" applyAlignment="1">
      <alignment horizontal="left"/>
    </xf>
    <xf numFmtId="0" fontId="0" fillId="9" borderId="24" xfId="0" applyFill="1" applyBorder="1"/>
    <xf numFmtId="0" fontId="0" fillId="9" borderId="30" xfId="0" applyFill="1" applyBorder="1"/>
    <xf numFmtId="0" fontId="0" fillId="9" borderId="30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50" xfId="0" applyFill="1" applyBorder="1" applyAlignment="1">
      <alignment vertical="center"/>
    </xf>
    <xf numFmtId="0" fontId="0" fillId="9" borderId="14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2" fontId="0" fillId="9" borderId="1" xfId="0" applyNumberForma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/>
    </xf>
    <xf numFmtId="165" fontId="0" fillId="9" borderId="30" xfId="0" applyNumberFormat="1" applyFill="1" applyBorder="1"/>
    <xf numFmtId="0" fontId="0" fillId="9" borderId="4" xfId="0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0" fillId="9" borderId="51" xfId="0" applyFill="1" applyBorder="1"/>
    <xf numFmtId="0" fontId="0" fillId="9" borderId="11" xfId="0" applyFill="1" applyBorder="1" applyAlignment="1">
      <alignment horizontal="center"/>
    </xf>
    <xf numFmtId="165" fontId="0" fillId="9" borderId="5" xfId="0" applyNumberFormat="1" applyFill="1" applyBorder="1" applyAlignment="1">
      <alignment horizontal="center"/>
    </xf>
    <xf numFmtId="0" fontId="0" fillId="9" borderId="5" xfId="0" applyFill="1" applyBorder="1"/>
    <xf numFmtId="2" fontId="9" fillId="9" borderId="5" xfId="0" applyNumberFormat="1" applyFont="1" applyFill="1" applyBorder="1" applyAlignment="1">
      <alignment horizontal="center"/>
    </xf>
    <xf numFmtId="1" fontId="0" fillId="9" borderId="5" xfId="0" applyNumberFormat="1" applyFill="1" applyBorder="1" applyAlignment="1">
      <alignment horizontal="center" vertical="center"/>
    </xf>
    <xf numFmtId="0" fontId="11" fillId="9" borderId="36" xfId="0" applyFont="1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9" borderId="24" xfId="0" applyNumberFormat="1" applyFill="1" applyBorder="1" applyAlignment="1">
      <alignment horizontal="center"/>
    </xf>
    <xf numFmtId="1" fontId="0" fillId="9" borderId="24" xfId="0" applyNumberFormat="1" applyFill="1" applyBorder="1" applyAlignment="1">
      <alignment horizontal="center" vertical="center"/>
    </xf>
    <xf numFmtId="1" fontId="0" fillId="9" borderId="6" xfId="0" applyNumberForma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11" fillId="9" borderId="28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14" borderId="0" xfId="0" applyFill="1"/>
    <xf numFmtId="0" fontId="2" fillId="14" borderId="11" xfId="0" applyFont="1" applyFill="1" applyBorder="1" applyAlignment="1">
      <alignment horizontal="center"/>
    </xf>
    <xf numFmtId="0" fontId="0" fillId="14" borderId="19" xfId="0" applyFill="1" applyBorder="1"/>
    <xf numFmtId="2" fontId="0" fillId="14" borderId="22" xfId="0" applyNumberFormat="1" applyFill="1" applyBorder="1" applyAlignment="1">
      <alignment horizontal="center"/>
    </xf>
    <xf numFmtId="0" fontId="8" fillId="14" borderId="22" xfId="0" applyFont="1" applyFill="1" applyBorder="1" applyAlignment="1">
      <alignment horizontal="center"/>
    </xf>
    <xf numFmtId="165" fontId="0" fillId="14" borderId="22" xfId="0" applyNumberFormat="1" applyFill="1" applyBorder="1" applyAlignment="1">
      <alignment horizontal="center"/>
    </xf>
    <xf numFmtId="0" fontId="0" fillId="14" borderId="22" xfId="0" applyFill="1" applyBorder="1" applyAlignment="1">
      <alignment horizontal="left"/>
    </xf>
    <xf numFmtId="0" fontId="0" fillId="14" borderId="22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22" xfId="0" applyFill="1" applyBorder="1"/>
    <xf numFmtId="0" fontId="0" fillId="14" borderId="30" xfId="0" applyFill="1" applyBorder="1" applyAlignment="1">
      <alignment horizontal="center" vertical="center"/>
    </xf>
    <xf numFmtId="165" fontId="0" fillId="14" borderId="30" xfId="0" applyNumberFormat="1" applyFill="1" applyBorder="1" applyAlignment="1">
      <alignment horizontal="center"/>
    </xf>
    <xf numFmtId="165" fontId="0" fillId="14" borderId="22" xfId="0" applyNumberFormat="1" applyFill="1" applyBorder="1"/>
    <xf numFmtId="165" fontId="0" fillId="14" borderId="4" xfId="0" applyNumberForma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0" fillId="14" borderId="20" xfId="0" applyFill="1" applyBorder="1"/>
    <xf numFmtId="2" fontId="0" fillId="14" borderId="0" xfId="0" applyNumberFormat="1" applyFill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164" fontId="0" fillId="14" borderId="0" xfId="0" applyNumberFormat="1" applyFill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14" borderId="5" xfId="0" applyNumberFormat="1" applyFill="1" applyBorder="1" applyAlignment="1">
      <alignment horizontal="center"/>
    </xf>
    <xf numFmtId="165" fontId="0" fillId="14" borderId="1" xfId="0" applyNumberFormat="1" applyFill="1" applyBorder="1" applyAlignment="1">
      <alignment horizontal="center"/>
    </xf>
    <xf numFmtId="166" fontId="0" fillId="14" borderId="0" xfId="0" applyNumberForma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0" fillId="14" borderId="21" xfId="0" applyFill="1" applyBorder="1"/>
    <xf numFmtId="165" fontId="0" fillId="14" borderId="0" xfId="0" applyNumberFormat="1" applyFill="1" applyAlignment="1">
      <alignment horizontal="center"/>
    </xf>
    <xf numFmtId="165" fontId="0" fillId="14" borderId="23" xfId="0" applyNumberFormat="1" applyFill="1" applyBorder="1" applyAlignment="1">
      <alignment horizontal="center"/>
    </xf>
    <xf numFmtId="0" fontId="0" fillId="14" borderId="23" xfId="0" applyFill="1" applyBorder="1"/>
    <xf numFmtId="0" fontId="0" fillId="14" borderId="23" xfId="0" applyFill="1" applyBorder="1" applyAlignment="1">
      <alignment horizontal="center"/>
    </xf>
    <xf numFmtId="0" fontId="0" fillId="14" borderId="24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/>
    </xf>
    <xf numFmtId="0" fontId="0" fillId="14" borderId="1" xfId="0" applyFill="1" applyBorder="1"/>
    <xf numFmtId="0" fontId="0" fillId="14" borderId="26" xfId="0" applyFill="1" applyBorder="1"/>
    <xf numFmtId="0" fontId="0" fillId="14" borderId="6" xfId="0" applyFill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9" borderId="15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wrapText="1"/>
    </xf>
    <xf numFmtId="0" fontId="1" fillId="0" borderId="1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2" borderId="15" xfId="0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1" fillId="9" borderId="16" xfId="0" applyFont="1" applyFill="1" applyBorder="1" applyAlignment="1">
      <alignment horizontal="center" vertical="center" wrapText="1"/>
    </xf>
    <xf numFmtId="0" fontId="1" fillId="9" borderId="30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wrapText="1"/>
    </xf>
    <xf numFmtId="0" fontId="0" fillId="9" borderId="29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54" xfId="0" applyFill="1" applyBorder="1" applyAlignment="1">
      <alignment horizontal="center"/>
    </xf>
    <xf numFmtId="0" fontId="0" fillId="9" borderId="31" xfId="0" applyFill="1" applyBorder="1" applyAlignment="1">
      <alignment horizontal="center" wrapText="1"/>
    </xf>
    <xf numFmtId="0" fontId="0" fillId="9" borderId="14" xfId="0" applyFill="1" applyBorder="1" applyAlignment="1">
      <alignment horizontal="center" wrapText="1"/>
    </xf>
    <xf numFmtId="0" fontId="0" fillId="0" borderId="54" xfId="0" applyBorder="1" applyAlignment="1">
      <alignment horizontal="center"/>
    </xf>
    <xf numFmtId="0" fontId="1" fillId="4" borderId="5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52" xfId="0" applyBorder="1" applyAlignment="1">
      <alignment horizontal="center" wrapText="1"/>
    </xf>
    <xf numFmtId="0" fontId="1" fillId="9" borderId="43" xfId="0" applyFont="1" applyFill="1" applyBorder="1" applyAlignment="1">
      <alignment horizontal="center" vertical="center"/>
    </xf>
    <xf numFmtId="0" fontId="1" fillId="9" borderId="44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6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0" fillId="15" borderId="0" xfId="0" applyFill="1"/>
    <xf numFmtId="0" fontId="2" fillId="15" borderId="5" xfId="0" applyFont="1" applyFill="1" applyBorder="1" applyAlignment="1">
      <alignment horizontal="center"/>
    </xf>
    <xf numFmtId="0" fontId="0" fillId="15" borderId="20" xfId="0" applyFill="1" applyBorder="1"/>
    <xf numFmtId="0" fontId="0" fillId="15" borderId="0" xfId="0" applyFill="1" applyAlignment="1">
      <alignment horizontal="center"/>
    </xf>
    <xf numFmtId="165" fontId="0" fillId="15" borderId="0" xfId="0" applyNumberFormat="1" applyFill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165" fontId="0" fillId="15" borderId="1" xfId="0" applyNumberFormat="1" applyFill="1" applyBorder="1" applyAlignment="1">
      <alignment horizontal="center"/>
    </xf>
    <xf numFmtId="165" fontId="0" fillId="15" borderId="5" xfId="0" applyNumberFormat="1" applyFill="1" applyBorder="1" applyAlignment="1">
      <alignment horizontal="center"/>
    </xf>
    <xf numFmtId="0" fontId="0" fillId="15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32"/>
  <sheetViews>
    <sheetView topLeftCell="A3" zoomScale="80" zoomScaleNormal="80" workbookViewId="0">
      <selection activeCell="G41" sqref="G41"/>
    </sheetView>
  </sheetViews>
  <sheetFormatPr defaultRowHeight="15" x14ac:dyDescent="0.25"/>
  <cols>
    <col min="3" max="3" width="10.28515625" customWidth="1"/>
    <col min="12" max="12" width="24.140625" style="1" customWidth="1"/>
  </cols>
  <sheetData>
    <row r="2" spans="3:12" ht="15.75" thickBot="1" x14ac:dyDescent="0.3"/>
    <row r="3" spans="3:12" ht="30" customHeight="1" thickBot="1" x14ac:dyDescent="0.3">
      <c r="C3" s="103" t="s">
        <v>117</v>
      </c>
      <c r="D3" s="418" t="s">
        <v>41</v>
      </c>
      <c r="E3" s="418"/>
      <c r="F3" s="418"/>
      <c r="G3" s="418"/>
      <c r="H3" s="418" t="s">
        <v>42</v>
      </c>
      <c r="I3" s="418"/>
      <c r="J3" s="418"/>
      <c r="K3" s="418"/>
      <c r="L3" s="102" t="s">
        <v>108</v>
      </c>
    </row>
    <row r="4" spans="3:12" ht="5.25" customHeight="1" thickBot="1" x14ac:dyDescent="0.3">
      <c r="C4" s="41"/>
      <c r="D4" s="1"/>
      <c r="E4" s="1"/>
      <c r="F4" s="1"/>
      <c r="G4" s="1"/>
      <c r="H4" s="1"/>
      <c r="I4" s="1"/>
      <c r="J4" s="1"/>
      <c r="K4" s="1"/>
      <c r="L4" s="53"/>
    </row>
    <row r="5" spans="3:12" x14ac:dyDescent="0.25">
      <c r="C5" s="411" t="s">
        <v>34</v>
      </c>
      <c r="D5" s="404" t="s">
        <v>118</v>
      </c>
      <c r="E5" s="404"/>
      <c r="F5" s="404" t="s">
        <v>119</v>
      </c>
      <c r="G5" s="404"/>
      <c r="H5" s="404" t="s">
        <v>120</v>
      </c>
      <c r="I5" s="404"/>
      <c r="J5" s="404" t="s">
        <v>121</v>
      </c>
      <c r="K5" s="404"/>
      <c r="L5" s="98" t="s">
        <v>131</v>
      </c>
    </row>
    <row r="6" spans="3:12" x14ac:dyDescent="0.25">
      <c r="C6" s="412"/>
      <c r="D6" s="91" t="s">
        <v>248</v>
      </c>
      <c r="E6" s="91" t="s">
        <v>249</v>
      </c>
      <c r="F6" s="91" t="s">
        <v>250</v>
      </c>
      <c r="G6" s="91" t="s">
        <v>226</v>
      </c>
      <c r="H6" s="91" t="s">
        <v>248</v>
      </c>
      <c r="I6" s="91" t="s">
        <v>249</v>
      </c>
      <c r="J6" s="91" t="s">
        <v>250</v>
      </c>
      <c r="K6" s="91" t="s">
        <v>226</v>
      </c>
      <c r="L6" s="77"/>
    </row>
    <row r="7" spans="3:12" ht="15.75" thickBot="1" x14ac:dyDescent="0.3">
      <c r="C7" s="413"/>
      <c r="D7" s="95" t="s">
        <v>124</v>
      </c>
      <c r="E7" s="95" t="s">
        <v>124</v>
      </c>
      <c r="F7" s="101" t="s">
        <v>124</v>
      </c>
      <c r="G7" s="95" t="s">
        <v>124</v>
      </c>
      <c r="H7" s="95" t="s">
        <v>124</v>
      </c>
      <c r="I7" s="95" t="s">
        <v>124</v>
      </c>
      <c r="J7" s="101" t="s">
        <v>124</v>
      </c>
      <c r="K7" s="95" t="s">
        <v>124</v>
      </c>
      <c r="L7" s="97"/>
    </row>
    <row r="8" spans="3:12" ht="5.25" customHeight="1" thickBot="1" x14ac:dyDescent="0.3">
      <c r="C8" s="41"/>
      <c r="D8" s="1"/>
      <c r="E8" s="1"/>
      <c r="F8" s="1"/>
      <c r="G8" s="1"/>
      <c r="H8" s="1"/>
      <c r="I8" s="1"/>
      <c r="J8" s="1"/>
      <c r="K8" s="1"/>
      <c r="L8" s="53"/>
    </row>
    <row r="9" spans="3:12" x14ac:dyDescent="0.25">
      <c r="C9" s="411" t="s">
        <v>54</v>
      </c>
      <c r="D9" s="404" t="s">
        <v>138</v>
      </c>
      <c r="E9" s="404"/>
      <c r="F9" s="404" t="s">
        <v>139</v>
      </c>
      <c r="G9" s="404"/>
      <c r="H9" s="404" t="s">
        <v>140</v>
      </c>
      <c r="I9" s="404"/>
      <c r="J9" s="404" t="s">
        <v>141</v>
      </c>
      <c r="K9" s="404"/>
      <c r="L9" s="98" t="s">
        <v>131</v>
      </c>
    </row>
    <row r="10" spans="3:12" x14ac:dyDescent="0.25">
      <c r="C10" s="412"/>
      <c r="D10" s="405" t="s">
        <v>251</v>
      </c>
      <c r="E10" s="406"/>
      <c r="F10" s="405" t="s">
        <v>252</v>
      </c>
      <c r="G10" s="406"/>
      <c r="H10" s="405" t="s">
        <v>251</v>
      </c>
      <c r="I10" s="406"/>
      <c r="J10" s="405" t="s">
        <v>252</v>
      </c>
      <c r="K10" s="406"/>
      <c r="L10" s="402" t="s">
        <v>142</v>
      </c>
    </row>
    <row r="11" spans="3:12" ht="15.75" thickBot="1" x14ac:dyDescent="0.3">
      <c r="C11" s="413"/>
      <c r="D11" s="407" t="s">
        <v>124</v>
      </c>
      <c r="E11" s="408"/>
      <c r="F11" s="407" t="s">
        <v>124</v>
      </c>
      <c r="G11" s="408"/>
      <c r="H11" s="407" t="s">
        <v>124</v>
      </c>
      <c r="I11" s="408"/>
      <c r="J11" s="407" t="s">
        <v>124</v>
      </c>
      <c r="K11" s="408"/>
      <c r="L11" s="403"/>
    </row>
    <row r="12" spans="3:12" ht="5.25" customHeight="1" thickBot="1" x14ac:dyDescent="0.3">
      <c r="C12" s="41"/>
      <c r="D12" s="1"/>
      <c r="E12" s="1"/>
      <c r="F12" s="1"/>
      <c r="G12" s="1"/>
      <c r="H12" s="1"/>
      <c r="I12" s="1"/>
      <c r="J12" s="1"/>
      <c r="K12" s="1"/>
      <c r="L12" s="53"/>
    </row>
    <row r="13" spans="3:12" x14ac:dyDescent="0.25">
      <c r="C13" s="415" t="s">
        <v>54</v>
      </c>
      <c r="D13" s="404" t="s">
        <v>127</v>
      </c>
      <c r="E13" s="404"/>
      <c r="F13" s="404" t="s">
        <v>51</v>
      </c>
      <c r="G13" s="404"/>
      <c r="H13" s="404" t="s">
        <v>128</v>
      </c>
      <c r="I13" s="404"/>
      <c r="J13" s="404" t="s">
        <v>53</v>
      </c>
      <c r="K13" s="404"/>
      <c r="L13" s="98"/>
    </row>
    <row r="14" spans="3:12" x14ac:dyDescent="0.25">
      <c r="C14" s="416"/>
      <c r="D14" s="91" t="s">
        <v>253</v>
      </c>
      <c r="E14" s="91" t="s">
        <v>254</v>
      </c>
      <c r="F14" s="91" t="s">
        <v>255</v>
      </c>
      <c r="G14" s="91" t="s">
        <v>256</v>
      </c>
      <c r="H14" s="91" t="s">
        <v>257</v>
      </c>
      <c r="I14" s="91" t="s">
        <v>258</v>
      </c>
      <c r="J14" s="91" t="s">
        <v>255</v>
      </c>
      <c r="K14" s="91" t="s">
        <v>256</v>
      </c>
      <c r="L14" s="77"/>
    </row>
    <row r="15" spans="3:12" x14ac:dyDescent="0.25">
      <c r="C15" s="416"/>
      <c r="D15" s="93" t="s">
        <v>124</v>
      </c>
      <c r="E15" s="93" t="s">
        <v>124</v>
      </c>
      <c r="F15" s="93" t="s">
        <v>124</v>
      </c>
      <c r="G15" s="93" t="s">
        <v>124</v>
      </c>
      <c r="H15" s="93" t="s">
        <v>124</v>
      </c>
      <c r="I15" s="93" t="s">
        <v>124</v>
      </c>
      <c r="J15" s="93" t="s">
        <v>124</v>
      </c>
      <c r="K15" s="93" t="s">
        <v>124</v>
      </c>
      <c r="L15" s="77" t="s">
        <v>125</v>
      </c>
    </row>
    <row r="16" spans="3:12" ht="15.75" thickBot="1" x14ac:dyDescent="0.3">
      <c r="C16" s="417"/>
      <c r="D16" s="95" t="s">
        <v>124</v>
      </c>
      <c r="E16" s="95" t="s">
        <v>124</v>
      </c>
      <c r="F16" s="95" t="s">
        <v>124</v>
      </c>
      <c r="G16" s="95" t="s">
        <v>124</v>
      </c>
      <c r="H16" s="95" t="s">
        <v>124</v>
      </c>
      <c r="I16" s="95" t="s">
        <v>124</v>
      </c>
      <c r="J16" s="93" t="s">
        <v>124</v>
      </c>
      <c r="K16" s="95" t="s">
        <v>124</v>
      </c>
      <c r="L16" s="97" t="s">
        <v>126</v>
      </c>
    </row>
    <row r="17" spans="3:12" ht="5.25" customHeight="1" thickBot="1" x14ac:dyDescent="0.3">
      <c r="C17" s="41"/>
      <c r="D17" s="1"/>
      <c r="E17" s="1"/>
      <c r="F17" s="1"/>
      <c r="G17" s="1"/>
      <c r="H17" s="1"/>
      <c r="I17" s="1"/>
      <c r="J17" s="1"/>
      <c r="K17" s="1"/>
      <c r="L17" s="53"/>
    </row>
    <row r="18" spans="3:12" x14ac:dyDescent="0.25">
      <c r="C18" s="411" t="s">
        <v>129</v>
      </c>
      <c r="D18" s="404" t="s">
        <v>127</v>
      </c>
      <c r="E18" s="404"/>
      <c r="F18" s="409" t="s">
        <v>51</v>
      </c>
      <c r="G18" s="410"/>
      <c r="H18" s="404" t="s">
        <v>128</v>
      </c>
      <c r="I18" s="404"/>
      <c r="J18" s="409" t="s">
        <v>53</v>
      </c>
      <c r="K18" s="410"/>
      <c r="L18" s="98" t="s">
        <v>136</v>
      </c>
    </row>
    <row r="19" spans="3:12" x14ac:dyDescent="0.25">
      <c r="C19" s="412"/>
      <c r="D19" s="92" t="s">
        <v>122</v>
      </c>
      <c r="E19" s="91" t="s">
        <v>259</v>
      </c>
      <c r="F19" s="92" t="s">
        <v>122</v>
      </c>
      <c r="G19" s="92" t="s">
        <v>123</v>
      </c>
      <c r="H19" s="92" t="s">
        <v>122</v>
      </c>
      <c r="I19" s="91" t="s">
        <v>259</v>
      </c>
      <c r="J19" s="92" t="s">
        <v>122</v>
      </c>
      <c r="K19" s="92" t="s">
        <v>123</v>
      </c>
      <c r="L19" s="77"/>
    </row>
    <row r="20" spans="3:12" ht="15" customHeight="1" thickBot="1" x14ac:dyDescent="0.3">
      <c r="C20" s="413"/>
      <c r="D20" s="96"/>
      <c r="E20" s="95" t="s">
        <v>124</v>
      </c>
      <c r="F20" s="96"/>
      <c r="G20" s="96"/>
      <c r="H20" s="96"/>
      <c r="I20" s="95" t="s">
        <v>124</v>
      </c>
      <c r="J20" s="96"/>
      <c r="K20" s="96"/>
      <c r="L20" s="99" t="s">
        <v>130</v>
      </c>
    </row>
    <row r="21" spans="3:12" ht="5.25" customHeight="1" thickBot="1" x14ac:dyDescent="0.3">
      <c r="C21" s="41"/>
      <c r="D21" s="1"/>
      <c r="E21" s="1"/>
      <c r="F21" s="1"/>
      <c r="G21" s="1"/>
      <c r="H21" s="1"/>
      <c r="I21" s="1"/>
      <c r="J21" s="1"/>
      <c r="K21" s="1"/>
      <c r="L21" s="53"/>
    </row>
    <row r="22" spans="3:12" x14ac:dyDescent="0.25">
      <c r="C22" s="411" t="s">
        <v>77</v>
      </c>
      <c r="D22" s="409" t="s">
        <v>127</v>
      </c>
      <c r="E22" s="410"/>
      <c r="F22" s="409" t="s">
        <v>51</v>
      </c>
      <c r="G22" s="410"/>
      <c r="H22" s="409" t="s">
        <v>128</v>
      </c>
      <c r="I22" s="410"/>
      <c r="J22" s="409" t="s">
        <v>53</v>
      </c>
      <c r="K22" s="410"/>
      <c r="L22" s="92" t="s">
        <v>136</v>
      </c>
    </row>
    <row r="23" spans="3:12" x14ac:dyDescent="0.25">
      <c r="C23" s="412"/>
      <c r="D23" s="92" t="s">
        <v>122</v>
      </c>
      <c r="E23" s="92" t="s">
        <v>123</v>
      </c>
      <c r="F23" s="92" t="s">
        <v>122</v>
      </c>
      <c r="G23" s="92" t="s">
        <v>123</v>
      </c>
      <c r="H23" s="92" t="s">
        <v>122</v>
      </c>
      <c r="I23" s="92" t="s">
        <v>123</v>
      </c>
      <c r="J23" s="92" t="s">
        <v>122</v>
      </c>
      <c r="K23" s="92" t="s">
        <v>123</v>
      </c>
      <c r="L23" s="92"/>
    </row>
    <row r="24" spans="3:12" ht="15" customHeight="1" thickBot="1" x14ac:dyDescent="0.3">
      <c r="C24" s="413"/>
      <c r="D24" s="92"/>
      <c r="E24" s="92"/>
      <c r="F24" s="92"/>
      <c r="G24" s="92"/>
      <c r="H24" s="92"/>
      <c r="I24" s="92"/>
      <c r="J24" s="96"/>
      <c r="K24" s="96"/>
      <c r="L24" s="92" t="s">
        <v>247</v>
      </c>
    </row>
    <row r="25" spans="3:12" ht="5.25" customHeight="1" thickBot="1" x14ac:dyDescent="0.3">
      <c r="C25" s="41"/>
      <c r="D25" s="1"/>
      <c r="E25" s="1"/>
      <c r="F25" s="1"/>
      <c r="G25" s="1"/>
      <c r="H25" s="1"/>
      <c r="I25" s="1"/>
      <c r="J25" s="1"/>
      <c r="K25" s="1"/>
      <c r="L25" s="53"/>
    </row>
    <row r="26" spans="3:12" x14ac:dyDescent="0.25">
      <c r="C26" s="411" t="s">
        <v>59</v>
      </c>
      <c r="D26" s="404" t="s">
        <v>127</v>
      </c>
      <c r="E26" s="404"/>
      <c r="F26" s="409" t="s">
        <v>51</v>
      </c>
      <c r="G26" s="410"/>
      <c r="H26" s="404" t="s">
        <v>128</v>
      </c>
      <c r="I26" s="404"/>
      <c r="J26" s="409" t="s">
        <v>53</v>
      </c>
      <c r="K26" s="410"/>
      <c r="L26" s="98"/>
    </row>
    <row r="27" spans="3:12" x14ac:dyDescent="0.25">
      <c r="C27" s="412"/>
      <c r="D27" s="405" t="s">
        <v>251</v>
      </c>
      <c r="E27" s="406"/>
      <c r="F27" s="92" t="s">
        <v>122</v>
      </c>
      <c r="G27" s="92" t="s">
        <v>123</v>
      </c>
      <c r="H27" s="405" t="s">
        <v>251</v>
      </c>
      <c r="I27" s="406"/>
      <c r="J27" s="92" t="s">
        <v>122</v>
      </c>
      <c r="K27" s="92" t="s">
        <v>123</v>
      </c>
      <c r="L27" s="77"/>
    </row>
    <row r="28" spans="3:12" ht="15.75" thickBot="1" x14ac:dyDescent="0.3">
      <c r="C28" s="413"/>
      <c r="D28" s="407" t="s">
        <v>124</v>
      </c>
      <c r="E28" s="408"/>
      <c r="F28" s="96"/>
      <c r="G28" s="96"/>
      <c r="H28" s="407" t="s">
        <v>124</v>
      </c>
      <c r="I28" s="408"/>
      <c r="J28" s="96"/>
      <c r="K28" s="96"/>
      <c r="L28" s="99" t="s">
        <v>130</v>
      </c>
    </row>
    <row r="29" spans="3:12" ht="5.25" customHeight="1" thickBot="1" x14ac:dyDescent="0.3">
      <c r="C29" s="41"/>
      <c r="D29" s="1"/>
      <c r="E29" s="1"/>
      <c r="F29" s="1"/>
      <c r="G29" s="1"/>
      <c r="H29" s="1"/>
      <c r="I29" s="1"/>
      <c r="J29" s="1"/>
      <c r="K29" s="1"/>
      <c r="L29" s="53"/>
    </row>
    <row r="30" spans="3:12" ht="30.75" customHeight="1" x14ac:dyDescent="0.25">
      <c r="C30" s="411" t="s">
        <v>63</v>
      </c>
      <c r="D30" s="414" t="s">
        <v>132</v>
      </c>
      <c r="E30" s="404"/>
      <c r="F30" s="414" t="s">
        <v>133</v>
      </c>
      <c r="G30" s="404"/>
      <c r="H30" s="414" t="s">
        <v>134</v>
      </c>
      <c r="I30" s="404"/>
      <c r="J30" s="414" t="s">
        <v>135</v>
      </c>
      <c r="K30" s="404"/>
      <c r="L30" s="98" t="s">
        <v>131</v>
      </c>
    </row>
    <row r="31" spans="3:12" x14ac:dyDescent="0.25">
      <c r="C31" s="412"/>
      <c r="D31" s="91" t="s">
        <v>260</v>
      </c>
      <c r="E31" s="94" t="s">
        <v>123</v>
      </c>
      <c r="F31" s="91" t="s">
        <v>227</v>
      </c>
      <c r="G31" s="91" t="s">
        <v>226</v>
      </c>
      <c r="H31" s="91" t="s">
        <v>260</v>
      </c>
      <c r="I31" s="94" t="s">
        <v>123</v>
      </c>
      <c r="J31" s="91" t="s">
        <v>227</v>
      </c>
      <c r="K31" s="91" t="s">
        <v>226</v>
      </c>
      <c r="L31" s="77"/>
    </row>
    <row r="32" spans="3:12" ht="15.75" thickBot="1" x14ac:dyDescent="0.3">
      <c r="C32" s="413"/>
      <c r="D32" s="95" t="s">
        <v>124</v>
      </c>
      <c r="E32" s="96"/>
      <c r="F32" s="95" t="s">
        <v>124</v>
      </c>
      <c r="G32" s="95" t="s">
        <v>124</v>
      </c>
      <c r="H32" s="95" t="s">
        <v>124</v>
      </c>
      <c r="I32" s="96"/>
      <c r="J32" s="95" t="s">
        <v>124</v>
      </c>
      <c r="K32" s="95" t="s">
        <v>124</v>
      </c>
      <c r="L32" s="97"/>
    </row>
  </sheetData>
  <mergeCells count="50">
    <mergeCell ref="C5:C7"/>
    <mergeCell ref="F18:G18"/>
    <mergeCell ref="D3:G3"/>
    <mergeCell ref="H3:K3"/>
    <mergeCell ref="H5:I5"/>
    <mergeCell ref="J5:K5"/>
    <mergeCell ref="H9:I9"/>
    <mergeCell ref="J9:K9"/>
    <mergeCell ref="J30:K30"/>
    <mergeCell ref="C13:C16"/>
    <mergeCell ref="C18:C20"/>
    <mergeCell ref="D5:E5"/>
    <mergeCell ref="F5:G5"/>
    <mergeCell ref="C22:C24"/>
    <mergeCell ref="D22:E22"/>
    <mergeCell ref="F22:G22"/>
    <mergeCell ref="C9:C11"/>
    <mergeCell ref="D10:E10"/>
    <mergeCell ref="D11:E11"/>
    <mergeCell ref="F10:G10"/>
    <mergeCell ref="F11:G11"/>
    <mergeCell ref="D9:E9"/>
    <mergeCell ref="F9:G9"/>
    <mergeCell ref="D18:E18"/>
    <mergeCell ref="C30:C32"/>
    <mergeCell ref="D30:E30"/>
    <mergeCell ref="F30:G30"/>
    <mergeCell ref="H30:I30"/>
    <mergeCell ref="C26:C28"/>
    <mergeCell ref="D26:E26"/>
    <mergeCell ref="F26:G26"/>
    <mergeCell ref="H26:I26"/>
    <mergeCell ref="D27:E27"/>
    <mergeCell ref="D28:E28"/>
    <mergeCell ref="H27:I27"/>
    <mergeCell ref="H28:I28"/>
    <mergeCell ref="J26:K26"/>
    <mergeCell ref="H18:I18"/>
    <mergeCell ref="J18:K18"/>
    <mergeCell ref="H22:I22"/>
    <mergeCell ref="J22:K22"/>
    <mergeCell ref="L10:L11"/>
    <mergeCell ref="D13:E13"/>
    <mergeCell ref="F13:G13"/>
    <mergeCell ref="H13:I13"/>
    <mergeCell ref="J13:K13"/>
    <mergeCell ref="H10:I10"/>
    <mergeCell ref="H11:I11"/>
    <mergeCell ref="J10:K10"/>
    <mergeCell ref="J11:K1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A108"/>
  <sheetViews>
    <sheetView tabSelected="1" zoomScale="90" zoomScaleNormal="90" workbookViewId="0">
      <selection activeCell="AC23" sqref="AC18:AC23"/>
    </sheetView>
  </sheetViews>
  <sheetFormatPr defaultRowHeight="15" x14ac:dyDescent="0.25"/>
  <cols>
    <col min="1" max="1" width="3.140625" customWidth="1"/>
    <col min="2" max="2" width="7.42578125" style="1" customWidth="1"/>
    <col min="3" max="3" width="12.28515625" style="1" customWidth="1"/>
    <col min="4" max="4" width="9.140625" style="1"/>
    <col min="5" max="5" width="13.42578125" style="1" customWidth="1"/>
    <col min="6" max="6" width="20" style="1" customWidth="1"/>
    <col min="7" max="7" width="9" style="1" customWidth="1"/>
    <col min="8" max="8" width="10.42578125" style="1" customWidth="1"/>
    <col min="9" max="10" width="12" style="1" customWidth="1"/>
    <col min="11" max="11" width="11.140625" style="1" customWidth="1"/>
    <col min="12" max="12" width="9.140625" style="1" hidden="1" customWidth="1"/>
    <col min="13" max="13" width="1" customWidth="1"/>
    <col min="14" max="16" width="6.7109375" style="349" customWidth="1"/>
    <col min="17" max="18" width="6.7109375" style="472" customWidth="1"/>
    <col min="19" max="21" width="6.7109375" style="349" customWidth="1"/>
    <col min="22" max="23" width="6.7109375" customWidth="1"/>
    <col min="24" max="26" width="6.7109375" style="349" customWidth="1"/>
    <col min="27" max="27" width="6.7109375" style="472" customWidth="1"/>
    <col min="28" max="28" width="6.7109375" customWidth="1"/>
    <col min="29" max="29" width="6.7109375" style="472" customWidth="1"/>
    <col min="30" max="33" width="6.7109375" customWidth="1"/>
    <col min="34" max="34" width="9.42578125" style="349" customWidth="1"/>
    <col min="35" max="35" width="8" customWidth="1"/>
    <col min="36" max="36" width="7.7109375" customWidth="1"/>
    <col min="37" max="37" width="7.85546875" customWidth="1"/>
    <col min="38" max="39" width="6.7109375" style="349" customWidth="1"/>
    <col min="40" max="40" width="25.140625" customWidth="1"/>
    <col min="41" max="41" width="9.7109375" customWidth="1"/>
    <col min="42" max="42" width="9.140625" style="1"/>
  </cols>
  <sheetData>
    <row r="2" spans="2:44" ht="15.75" thickBot="1" x14ac:dyDescent="0.3"/>
    <row r="3" spans="2:44" x14ac:dyDescent="0.25">
      <c r="B3" s="391" t="s">
        <v>58</v>
      </c>
      <c r="C3" s="397" t="s">
        <v>33</v>
      </c>
      <c r="D3" s="396" t="s">
        <v>32</v>
      </c>
      <c r="E3" s="394"/>
      <c r="F3" s="394"/>
      <c r="G3" s="394"/>
      <c r="H3" s="394"/>
      <c r="I3" s="394"/>
      <c r="J3" s="394"/>
      <c r="K3" s="394"/>
      <c r="L3" s="394"/>
      <c r="M3" s="399"/>
      <c r="N3" s="394" t="s">
        <v>30</v>
      </c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  <c r="AA3" s="394"/>
      <c r="AB3" s="394"/>
      <c r="AC3" s="394"/>
      <c r="AD3" s="394"/>
      <c r="AE3" s="394"/>
      <c r="AF3" s="394"/>
      <c r="AG3" s="394"/>
      <c r="AH3" s="394"/>
      <c r="AI3" s="394"/>
      <c r="AJ3" s="394"/>
      <c r="AK3" s="394"/>
      <c r="AL3" s="394"/>
      <c r="AM3" s="395"/>
      <c r="AN3" s="386" t="s">
        <v>108</v>
      </c>
      <c r="AO3" s="388" t="s">
        <v>106</v>
      </c>
      <c r="AP3" s="389"/>
      <c r="AQ3" s="389"/>
      <c r="AR3" s="390"/>
    </row>
    <row r="4" spans="2:44" ht="19.5" thickBot="1" x14ac:dyDescent="0.4">
      <c r="B4" s="392"/>
      <c r="C4" s="398"/>
      <c r="D4" s="5" t="s">
        <v>29</v>
      </c>
      <c r="E4" s="7" t="s">
        <v>26</v>
      </c>
      <c r="F4" s="7" t="s">
        <v>27</v>
      </c>
      <c r="G4" s="6" t="s">
        <v>35</v>
      </c>
      <c r="H4" s="7" t="s">
        <v>28</v>
      </c>
      <c r="I4" s="9" t="s">
        <v>155</v>
      </c>
      <c r="J4" s="9" t="s">
        <v>231</v>
      </c>
      <c r="K4" s="9" t="s">
        <v>232</v>
      </c>
      <c r="L4" s="9" t="s">
        <v>31</v>
      </c>
      <c r="M4" s="400"/>
      <c r="N4" s="350" t="s">
        <v>0</v>
      </c>
      <c r="O4" s="363" t="s">
        <v>1</v>
      </c>
      <c r="P4" s="363" t="s">
        <v>2</v>
      </c>
      <c r="Q4" s="473" t="s">
        <v>3</v>
      </c>
      <c r="R4" s="473" t="s">
        <v>4</v>
      </c>
      <c r="S4" s="363" t="s">
        <v>5</v>
      </c>
      <c r="T4" s="363" t="s">
        <v>6</v>
      </c>
      <c r="U4" s="363" t="s">
        <v>7</v>
      </c>
      <c r="V4" s="2" t="s">
        <v>8</v>
      </c>
      <c r="W4" s="2" t="s">
        <v>9</v>
      </c>
      <c r="X4" s="363" t="s">
        <v>10</v>
      </c>
      <c r="Y4" s="363" t="s">
        <v>11</v>
      </c>
      <c r="Z4" s="363" t="s">
        <v>12</v>
      </c>
      <c r="AA4" s="473" t="s">
        <v>13</v>
      </c>
      <c r="AB4" s="2" t="s">
        <v>14</v>
      </c>
      <c r="AC4" s="473" t="s">
        <v>15</v>
      </c>
      <c r="AD4" s="2" t="s">
        <v>16</v>
      </c>
      <c r="AE4" s="2" t="s">
        <v>17</v>
      </c>
      <c r="AF4" s="2" t="s">
        <v>18</v>
      </c>
      <c r="AG4" s="2" t="s">
        <v>19</v>
      </c>
      <c r="AH4" s="363" t="s">
        <v>20</v>
      </c>
      <c r="AI4" s="2" t="s">
        <v>21</v>
      </c>
      <c r="AJ4" s="2" t="s">
        <v>22</v>
      </c>
      <c r="AK4" s="2" t="s">
        <v>23</v>
      </c>
      <c r="AL4" s="363" t="s">
        <v>24</v>
      </c>
      <c r="AM4" s="374" t="s">
        <v>25</v>
      </c>
      <c r="AN4" s="387"/>
      <c r="AO4" s="35" t="s">
        <v>104</v>
      </c>
      <c r="AP4" s="70" t="s">
        <v>105</v>
      </c>
      <c r="AQ4" s="68" t="s">
        <v>107</v>
      </c>
      <c r="AR4" s="87" t="s">
        <v>109</v>
      </c>
    </row>
    <row r="5" spans="2:44" ht="5.25" customHeight="1" x14ac:dyDescent="0.25"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  <c r="N5" s="351"/>
      <c r="O5" s="364"/>
      <c r="P5" s="364"/>
      <c r="Q5" s="474"/>
      <c r="R5" s="474"/>
      <c r="S5" s="364"/>
      <c r="T5" s="364"/>
      <c r="U5" s="364"/>
      <c r="V5" s="39"/>
      <c r="W5" s="39"/>
      <c r="X5" s="364"/>
      <c r="Y5" s="364"/>
      <c r="Z5" s="364"/>
      <c r="AA5" s="474"/>
      <c r="AB5" s="39"/>
      <c r="AC5" s="474"/>
      <c r="AD5" s="39"/>
      <c r="AE5" s="39"/>
      <c r="AF5" s="39"/>
      <c r="AG5" s="39"/>
      <c r="AH5" s="364"/>
      <c r="AI5" s="39"/>
      <c r="AJ5" s="39"/>
      <c r="AK5" s="39"/>
      <c r="AL5" s="364"/>
      <c r="AM5" s="375"/>
      <c r="AN5" s="21"/>
      <c r="AO5" s="71"/>
      <c r="AP5" s="72"/>
      <c r="AQ5" s="84"/>
      <c r="AR5" s="73"/>
    </row>
    <row r="6" spans="2:44" x14ac:dyDescent="0.25">
      <c r="B6" s="41" t="s">
        <v>75</v>
      </c>
      <c r="C6" s="42" t="s">
        <v>39</v>
      </c>
      <c r="D6" s="42" t="s">
        <v>39</v>
      </c>
      <c r="E6" s="10" t="s">
        <v>41</v>
      </c>
      <c r="F6" s="42" t="s">
        <v>39</v>
      </c>
      <c r="G6" s="1" t="s">
        <v>84</v>
      </c>
      <c r="H6" s="42" t="s">
        <v>39</v>
      </c>
      <c r="I6" s="42" t="s">
        <v>39</v>
      </c>
      <c r="J6" s="42" t="s">
        <v>39</v>
      </c>
      <c r="K6" s="42" t="s">
        <v>39</v>
      </c>
      <c r="L6" s="42" t="s">
        <v>39</v>
      </c>
      <c r="M6" s="21"/>
      <c r="N6" s="352">
        <v>0.15</v>
      </c>
      <c r="O6" s="365">
        <v>0.28000000000000003</v>
      </c>
      <c r="P6" s="365">
        <v>1.1100000000000001</v>
      </c>
      <c r="Q6" s="475">
        <v>0.01</v>
      </c>
      <c r="R6" s="475">
        <v>1E-3</v>
      </c>
      <c r="S6" s="357">
        <v>0.28999999999999998</v>
      </c>
      <c r="T6" s="365">
        <v>0.05</v>
      </c>
      <c r="U6" s="357">
        <v>0.17</v>
      </c>
      <c r="V6" s="1"/>
      <c r="W6" s="1"/>
      <c r="X6" s="357">
        <v>1.0999999999999999E-2</v>
      </c>
      <c r="Y6" s="357">
        <v>1E-3</v>
      </c>
      <c r="Z6" s="357">
        <v>0.01</v>
      </c>
      <c r="AA6" s="475">
        <v>3.4000000000000002E-2</v>
      </c>
      <c r="AB6" s="15"/>
      <c r="AC6" s="476">
        <v>8.9999999999999993E-3</v>
      </c>
      <c r="AD6" s="1"/>
      <c r="AE6" s="1"/>
      <c r="AF6" s="1"/>
      <c r="AG6" s="1"/>
      <c r="AH6" s="357">
        <v>1E-3</v>
      </c>
      <c r="AI6" s="43"/>
      <c r="AJ6" s="1"/>
      <c r="AK6" s="1"/>
      <c r="AL6" s="376"/>
      <c r="AM6" s="377">
        <v>3.0000000000000001E-3</v>
      </c>
      <c r="AN6" s="79" t="s">
        <v>89</v>
      </c>
      <c r="AO6" s="74">
        <f t="shared" ref="AO6:AO11" si="0">N6+P6/6+Z6/15+T6/15+S6/5+U6/5+X6/5</f>
        <v>0.43320000000000003</v>
      </c>
      <c r="AP6" s="13">
        <f t="shared" ref="AP6:AP11" si="1">N6+O6/30+P6/20+Z6/20+T6/60+S6/20+U6/15+X6/10+5*AH6</f>
        <v>0.24809999999999996</v>
      </c>
      <c r="AQ6" s="81">
        <f>N6+(0.75+0.25*TANH(20*(N6-0.12)))*(O6/24+P6/6+Z6/15+T6/20+S6/5+U6/5+Y6/5+X6/5)</f>
        <v>0.4101794710657638</v>
      </c>
      <c r="AR6" s="85">
        <f t="shared" ref="AR6:AR11" si="2">N6+P6/10+U6/10+S6/20+Z6/20+T6/40</f>
        <v>0.29425000000000001</v>
      </c>
    </row>
    <row r="7" spans="2:44" x14ac:dyDescent="0.25">
      <c r="B7" s="41" t="s">
        <v>75</v>
      </c>
      <c r="C7" s="42" t="s">
        <v>39</v>
      </c>
      <c r="D7" s="42" t="s">
        <v>39</v>
      </c>
      <c r="E7" s="10" t="s">
        <v>41</v>
      </c>
      <c r="F7" s="42" t="s">
        <v>39</v>
      </c>
      <c r="G7" s="1" t="s">
        <v>84</v>
      </c>
      <c r="H7" s="42" t="s">
        <v>39</v>
      </c>
      <c r="I7" s="42" t="s">
        <v>39</v>
      </c>
      <c r="J7" s="42" t="s">
        <v>39</v>
      </c>
      <c r="K7" s="42" t="s">
        <v>39</v>
      </c>
      <c r="L7" s="42" t="s">
        <v>39</v>
      </c>
      <c r="M7" s="21"/>
      <c r="N7" s="352">
        <v>0.14000000000000001</v>
      </c>
      <c r="O7" s="365">
        <v>0.28999999999999998</v>
      </c>
      <c r="P7" s="365">
        <v>1.1499999999999999</v>
      </c>
      <c r="Q7" s="475">
        <v>0.01</v>
      </c>
      <c r="R7" s="475">
        <v>1E-3</v>
      </c>
      <c r="S7" s="357">
        <v>0.31</v>
      </c>
      <c r="T7" s="365">
        <v>0.05</v>
      </c>
      <c r="U7" s="357">
        <v>0.16</v>
      </c>
      <c r="V7" s="1"/>
      <c r="W7" s="1"/>
      <c r="X7" s="357">
        <v>1.0999999999999999E-2</v>
      </c>
      <c r="Y7" s="357">
        <v>1E-3</v>
      </c>
      <c r="Z7" s="357">
        <v>0.01</v>
      </c>
      <c r="AA7" s="475">
        <v>3.4000000000000002E-2</v>
      </c>
      <c r="AB7" s="15"/>
      <c r="AC7" s="476">
        <v>8.9999999999999993E-3</v>
      </c>
      <c r="AD7" s="1"/>
      <c r="AE7" s="1"/>
      <c r="AF7" s="1"/>
      <c r="AG7" s="1"/>
      <c r="AH7" s="357">
        <v>1E-3</v>
      </c>
      <c r="AI7" s="43"/>
      <c r="AJ7" s="1"/>
      <c r="AK7" s="1"/>
      <c r="AL7" s="376"/>
      <c r="AM7" s="377">
        <v>3.0000000000000001E-3</v>
      </c>
      <c r="AN7" s="79" t="s">
        <v>89</v>
      </c>
      <c r="AO7" s="74">
        <f t="shared" si="0"/>
        <v>0.43186666666666662</v>
      </c>
      <c r="AP7" s="13">
        <f t="shared" si="1"/>
        <v>0.24076666666666663</v>
      </c>
      <c r="AQ7" s="81">
        <f>N7+(0.75+0.25*TANH(20*(N7-0.12)))*(O7/24+P7/6+Z7/15+T7/20+S7/5+U7/5+Y7/5+X7/5)</f>
        <v>0.39629871318367854</v>
      </c>
      <c r="AR7" s="85">
        <f t="shared" si="2"/>
        <v>0.28825000000000001</v>
      </c>
    </row>
    <row r="8" spans="2:44" x14ac:dyDescent="0.25">
      <c r="B8" s="41" t="s">
        <v>75</v>
      </c>
      <c r="C8" s="42" t="s">
        <v>39</v>
      </c>
      <c r="D8" s="42" t="s">
        <v>39</v>
      </c>
      <c r="E8" s="10" t="s">
        <v>41</v>
      </c>
      <c r="F8" s="42" t="s">
        <v>39</v>
      </c>
      <c r="G8" s="1" t="s">
        <v>84</v>
      </c>
      <c r="H8" s="42" t="s">
        <v>39</v>
      </c>
      <c r="I8" s="42" t="s">
        <v>39</v>
      </c>
      <c r="J8" s="42" t="s">
        <v>39</v>
      </c>
      <c r="K8" s="42" t="s">
        <v>39</v>
      </c>
      <c r="L8" s="42" t="s">
        <v>39</v>
      </c>
      <c r="M8" s="21"/>
      <c r="N8" s="353">
        <v>0.14399999999999999</v>
      </c>
      <c r="O8" s="357">
        <v>0.27</v>
      </c>
      <c r="P8" s="357">
        <v>1.1100000000000001</v>
      </c>
      <c r="Q8" s="475">
        <v>1.0999999999999999E-2</v>
      </c>
      <c r="R8" s="475" t="s">
        <v>96</v>
      </c>
      <c r="S8" s="357">
        <v>0.28000000000000003</v>
      </c>
      <c r="T8" s="357">
        <v>5.0999999999999997E-2</v>
      </c>
      <c r="U8" s="357">
        <v>0.16</v>
      </c>
      <c r="V8" s="1" t="s">
        <v>97</v>
      </c>
      <c r="W8" s="1">
        <v>1.4E-2</v>
      </c>
      <c r="X8" s="357">
        <v>1.2E-2</v>
      </c>
      <c r="Y8" s="357" t="s">
        <v>97</v>
      </c>
      <c r="Z8" s="357">
        <v>8.9999999999999993E-3</v>
      </c>
      <c r="AA8" s="475">
        <v>4.4999999999999998E-2</v>
      </c>
      <c r="AB8" s="1">
        <v>2E-3</v>
      </c>
      <c r="AC8" s="475">
        <v>8.0000000000000002E-3</v>
      </c>
      <c r="AD8" s="1" t="s">
        <v>50</v>
      </c>
      <c r="AE8" s="1" t="s">
        <v>98</v>
      </c>
      <c r="AF8" s="1" t="s">
        <v>97</v>
      </c>
      <c r="AG8" s="1" t="s">
        <v>97</v>
      </c>
      <c r="AH8" s="373">
        <v>1E-3</v>
      </c>
      <c r="AI8" s="15" t="s">
        <v>97</v>
      </c>
      <c r="AJ8" s="43">
        <v>1E-3</v>
      </c>
      <c r="AL8" s="376">
        <v>1.4E-3</v>
      </c>
      <c r="AM8" s="377">
        <v>2.3E-3</v>
      </c>
      <c r="AN8" s="79" t="s">
        <v>95</v>
      </c>
      <c r="AO8" s="74">
        <f t="shared" si="0"/>
        <v>0.42340000000000005</v>
      </c>
      <c r="AP8" s="13">
        <f t="shared" si="1"/>
        <v>0.2406666666666667</v>
      </c>
      <c r="AQ8" s="81">
        <f>N8+(0.75+0.25*TANH(20*(N8-0.12)))*(O8/24+P8/6+Z8/15+T8/20+S8/5+U8/5+0.005/5+X8/5)</f>
        <v>0.39454191046508624</v>
      </c>
      <c r="AR8" s="85">
        <f t="shared" si="2"/>
        <v>0.28672500000000006</v>
      </c>
    </row>
    <row r="9" spans="2:44" x14ac:dyDescent="0.25">
      <c r="B9" s="41" t="s">
        <v>75</v>
      </c>
      <c r="C9" s="42" t="s">
        <v>39</v>
      </c>
      <c r="D9" s="42" t="s">
        <v>39</v>
      </c>
      <c r="E9" s="10" t="s">
        <v>42</v>
      </c>
      <c r="F9" s="42" t="s">
        <v>39</v>
      </c>
      <c r="G9" s="1" t="s">
        <v>84</v>
      </c>
      <c r="H9" s="42" t="s">
        <v>39</v>
      </c>
      <c r="I9" s="42" t="s">
        <v>39</v>
      </c>
      <c r="J9" s="42" t="s">
        <v>39</v>
      </c>
      <c r="K9" s="42" t="s">
        <v>39</v>
      </c>
      <c r="L9" s="42" t="s">
        <v>39</v>
      </c>
      <c r="M9" s="21"/>
      <c r="N9" s="352">
        <v>0.16</v>
      </c>
      <c r="O9" s="365">
        <v>0.23</v>
      </c>
      <c r="P9" s="365">
        <v>1.26</v>
      </c>
      <c r="Q9" s="475">
        <v>8.0000000000000002E-3</v>
      </c>
      <c r="R9" s="475">
        <v>1E-3</v>
      </c>
      <c r="S9" s="357">
        <v>0.2</v>
      </c>
      <c r="T9" s="369">
        <v>0.05</v>
      </c>
      <c r="U9" s="357">
        <v>0.60499999999999998</v>
      </c>
      <c r="V9" s="1"/>
      <c r="W9" s="1"/>
      <c r="X9" s="357">
        <v>0.04</v>
      </c>
      <c r="Y9" s="357">
        <v>0.15</v>
      </c>
      <c r="Z9" s="357">
        <v>0.01</v>
      </c>
      <c r="AA9" s="475">
        <v>5.3999999999999999E-2</v>
      </c>
      <c r="AB9" s="15"/>
      <c r="AC9" s="476">
        <v>3.0000000000000001E-3</v>
      </c>
      <c r="AD9" s="1"/>
      <c r="AE9" s="1"/>
      <c r="AF9" s="1"/>
      <c r="AG9" s="1"/>
      <c r="AH9" s="357">
        <v>1E-3</v>
      </c>
      <c r="AI9" s="43"/>
      <c r="AJ9" s="1"/>
      <c r="AK9" s="1"/>
      <c r="AL9" s="376"/>
      <c r="AM9" s="377">
        <v>3.0000000000000001E-3</v>
      </c>
      <c r="AN9" s="79" t="s">
        <v>89</v>
      </c>
      <c r="AO9" s="74">
        <f t="shared" si="0"/>
        <v>0.54299999999999993</v>
      </c>
      <c r="AP9" s="13">
        <f t="shared" si="1"/>
        <v>0.29133333333333333</v>
      </c>
      <c r="AQ9" s="81">
        <f>N9+(0.75+0.25*TANH(20*(N9-0.12)))*(O9/24+P9/6+Z9/15+T9/20+S9/5+U9/5+Y9/5+X9/5)</f>
        <v>0.54632687696511628</v>
      </c>
      <c r="AR9" s="85">
        <f t="shared" si="2"/>
        <v>0.35825000000000001</v>
      </c>
    </row>
    <row r="10" spans="2:44" x14ac:dyDescent="0.25">
      <c r="B10" s="41" t="s">
        <v>75</v>
      </c>
      <c r="C10" s="42" t="s">
        <v>39</v>
      </c>
      <c r="D10" s="42" t="s">
        <v>39</v>
      </c>
      <c r="E10" s="10" t="s">
        <v>42</v>
      </c>
      <c r="F10" s="42" t="s">
        <v>39</v>
      </c>
      <c r="G10" s="1" t="s">
        <v>84</v>
      </c>
      <c r="H10" s="42" t="s">
        <v>39</v>
      </c>
      <c r="I10" s="42" t="s">
        <v>39</v>
      </c>
      <c r="J10" s="42" t="s">
        <v>39</v>
      </c>
      <c r="K10" s="42" t="s">
        <v>39</v>
      </c>
      <c r="L10" s="42" t="s">
        <v>39</v>
      </c>
      <c r="M10" s="21"/>
      <c r="N10" s="352">
        <v>0.16</v>
      </c>
      <c r="O10" s="365">
        <v>0.23</v>
      </c>
      <c r="P10" s="365">
        <v>1.26</v>
      </c>
      <c r="Q10" s="475">
        <v>8.0000000000000002E-3</v>
      </c>
      <c r="R10" s="475">
        <v>1E-3</v>
      </c>
      <c r="S10" s="357">
        <v>0.2</v>
      </c>
      <c r="T10" s="369">
        <v>0.05</v>
      </c>
      <c r="U10" s="357">
        <v>0.60499999999999998</v>
      </c>
      <c r="V10" s="1"/>
      <c r="W10" s="1"/>
      <c r="X10" s="357">
        <v>0.04</v>
      </c>
      <c r="Y10" s="357">
        <v>0.15</v>
      </c>
      <c r="Z10" s="357">
        <v>0.01</v>
      </c>
      <c r="AA10" s="475">
        <v>5.3999999999999999E-2</v>
      </c>
      <c r="AB10" s="15"/>
      <c r="AC10" s="476">
        <v>3.0000000000000001E-3</v>
      </c>
      <c r="AD10" s="1"/>
      <c r="AE10" s="1"/>
      <c r="AF10" s="1"/>
      <c r="AG10" s="1"/>
      <c r="AH10" s="357">
        <v>1E-3</v>
      </c>
      <c r="AI10" s="43"/>
      <c r="AJ10" s="1"/>
      <c r="AK10" s="1"/>
      <c r="AL10" s="376"/>
      <c r="AM10" s="377">
        <v>3.0000000000000001E-3</v>
      </c>
      <c r="AN10" s="79" t="s">
        <v>89</v>
      </c>
      <c r="AO10" s="74">
        <f t="shared" si="0"/>
        <v>0.54299999999999993</v>
      </c>
      <c r="AP10" s="13">
        <f t="shared" si="1"/>
        <v>0.29133333333333333</v>
      </c>
      <c r="AQ10" s="81">
        <f>N10+(0.75+0.25*TANH(20*(N10-0.12)))*(O10/24+P10/6+Z10/15+T10/20+S10/5+U10/5+Y10/5+X10/5)</f>
        <v>0.54632687696511628</v>
      </c>
      <c r="AR10" s="85">
        <f t="shared" si="2"/>
        <v>0.35825000000000001</v>
      </c>
    </row>
    <row r="11" spans="2:44" x14ac:dyDescent="0.25">
      <c r="B11" s="41" t="s">
        <v>75</v>
      </c>
      <c r="C11" s="42" t="s">
        <v>39</v>
      </c>
      <c r="D11" s="42" t="s">
        <v>39</v>
      </c>
      <c r="E11" s="10" t="s">
        <v>42</v>
      </c>
      <c r="F11" s="42" t="s">
        <v>39</v>
      </c>
      <c r="G11" s="1" t="s">
        <v>84</v>
      </c>
      <c r="H11" s="42" t="s">
        <v>39</v>
      </c>
      <c r="I11" s="42" t="s">
        <v>39</v>
      </c>
      <c r="J11" s="42" t="s">
        <v>39</v>
      </c>
      <c r="K11" s="42" t="s">
        <v>39</v>
      </c>
      <c r="L11" s="42" t="s">
        <v>39</v>
      </c>
      <c r="M11" s="21"/>
      <c r="N11" s="353">
        <v>0.16900000000000001</v>
      </c>
      <c r="O11" s="357">
        <v>0.21</v>
      </c>
      <c r="P11" s="357">
        <v>1.21</v>
      </c>
      <c r="Q11" s="475">
        <v>8.0000000000000002E-3</v>
      </c>
      <c r="R11" s="475" t="s">
        <v>96</v>
      </c>
      <c r="S11" s="357">
        <v>0.19</v>
      </c>
      <c r="T11" s="357">
        <v>4.3999999999999997E-2</v>
      </c>
      <c r="U11" s="357">
        <v>0.61</v>
      </c>
      <c r="V11" s="1" t="s">
        <v>97</v>
      </c>
      <c r="W11" s="1">
        <v>1.4E-2</v>
      </c>
      <c r="X11" s="357">
        <v>3.7999999999999999E-2</v>
      </c>
      <c r="Y11" s="357">
        <v>1.4E-2</v>
      </c>
      <c r="Z11" s="357">
        <v>8.0000000000000002E-3</v>
      </c>
      <c r="AA11" s="475">
        <v>5.0999999999999997E-2</v>
      </c>
      <c r="AB11" s="1">
        <v>2E-3</v>
      </c>
      <c r="AC11" s="476">
        <v>3.0999999999999999E-3</v>
      </c>
      <c r="AD11" s="1" t="s">
        <v>50</v>
      </c>
      <c r="AE11" s="1" t="s">
        <v>98</v>
      </c>
      <c r="AF11" s="1" t="s">
        <v>97</v>
      </c>
      <c r="AG11" s="1" t="s">
        <v>97</v>
      </c>
      <c r="AH11" s="357">
        <v>8.9999999999999998E-4</v>
      </c>
      <c r="AI11" s="15" t="s">
        <v>97</v>
      </c>
      <c r="AJ11" s="1">
        <v>6.9999999999999999E-4</v>
      </c>
      <c r="AL11" s="376">
        <v>1.2999999999999999E-3</v>
      </c>
      <c r="AM11" s="377">
        <v>3.2000000000000002E-3</v>
      </c>
      <c r="AN11" s="79" t="s">
        <v>95</v>
      </c>
      <c r="AO11" s="74">
        <f t="shared" si="0"/>
        <v>0.5417333333333334</v>
      </c>
      <c r="AP11" s="13">
        <f t="shared" si="1"/>
        <v>0.29610000000000009</v>
      </c>
      <c r="AQ11" s="81">
        <f>N11+(0.75+0.25*TANH(20*(N11-0.12)))*(O11/24+P11/6+Z11/15+T11/20+S11/5+U11/5+Y11/5+X11/5)</f>
        <v>0.52887210695317921</v>
      </c>
      <c r="AR11" s="85">
        <f t="shared" si="2"/>
        <v>0.36200000000000004</v>
      </c>
    </row>
    <row r="12" spans="2:44" ht="6.75" customHeight="1" x14ac:dyDescent="0.25">
      <c r="B12" s="41"/>
      <c r="E12" s="42"/>
      <c r="H12" s="8"/>
      <c r="M12" s="21"/>
      <c r="N12" s="354"/>
      <c r="O12" s="365"/>
      <c r="P12" s="365"/>
      <c r="Q12" s="475"/>
      <c r="R12" s="475"/>
      <c r="S12" s="357"/>
      <c r="T12" s="369"/>
      <c r="U12" s="357"/>
      <c r="V12" s="1"/>
      <c r="W12" s="1"/>
      <c r="X12" s="357"/>
      <c r="Y12" s="357"/>
      <c r="Z12" s="357"/>
      <c r="AA12" s="475"/>
      <c r="AB12" s="15"/>
      <c r="AC12" s="476"/>
      <c r="AD12" s="1"/>
      <c r="AE12" s="1"/>
      <c r="AF12" s="1"/>
      <c r="AG12" s="1"/>
      <c r="AH12" s="357"/>
      <c r="AI12" s="43"/>
      <c r="AJ12" s="1"/>
      <c r="AK12" s="1"/>
      <c r="AL12" s="376"/>
      <c r="AM12" s="377"/>
      <c r="AN12" s="21"/>
      <c r="AO12" s="74"/>
      <c r="AP12" s="13"/>
      <c r="AQ12" s="81"/>
      <c r="AR12" s="85"/>
    </row>
    <row r="13" spans="2:44" x14ac:dyDescent="0.25">
      <c r="B13" s="41" t="s">
        <v>74</v>
      </c>
      <c r="C13" s="1" t="s">
        <v>34</v>
      </c>
      <c r="D13" s="1">
        <v>3488</v>
      </c>
      <c r="E13" s="42" t="s">
        <v>39</v>
      </c>
      <c r="F13" s="1" t="s">
        <v>37</v>
      </c>
      <c r="G13" s="1" t="s">
        <v>36</v>
      </c>
      <c r="H13" s="8" t="s">
        <v>40</v>
      </c>
      <c r="I13" s="1">
        <v>13</v>
      </c>
      <c r="J13" s="1">
        <v>9</v>
      </c>
      <c r="K13" s="1">
        <v>7</v>
      </c>
      <c r="L13" s="1">
        <v>7</v>
      </c>
      <c r="M13" s="21"/>
      <c r="N13" s="354">
        <v>5.2999999999999999E-2</v>
      </c>
      <c r="O13" s="365">
        <v>0.33</v>
      </c>
      <c r="P13" s="365">
        <v>2.2000000000000002</v>
      </c>
      <c r="Q13" s="475">
        <v>8.0000000000000002E-3</v>
      </c>
      <c r="R13" s="475">
        <v>5.0000000000000001E-3</v>
      </c>
      <c r="S13" s="357">
        <v>0.51</v>
      </c>
      <c r="T13" s="369">
        <v>3.3</v>
      </c>
      <c r="U13" s="357">
        <v>0.62</v>
      </c>
      <c r="V13" s="1">
        <v>5.0000000000000001E-3</v>
      </c>
      <c r="W13" s="1">
        <v>1.7000000000000001E-2</v>
      </c>
      <c r="X13" s="357">
        <v>1.6E-2</v>
      </c>
      <c r="Y13" s="357">
        <v>8.9999999999999993E-3</v>
      </c>
      <c r="Z13" s="357">
        <v>8.9999999999999993E-3</v>
      </c>
      <c r="AA13" s="475">
        <v>4.0000000000000001E-3</v>
      </c>
      <c r="AB13" s="15">
        <v>2E-3</v>
      </c>
      <c r="AC13" s="476">
        <v>1.2999999999999999E-2</v>
      </c>
      <c r="AD13" s="1" t="s">
        <v>46</v>
      </c>
      <c r="AE13" s="1">
        <v>4.0000000000000001E-3</v>
      </c>
      <c r="AF13" s="1">
        <v>2E-3</v>
      </c>
      <c r="AG13" s="1" t="s">
        <v>47</v>
      </c>
      <c r="AH13" s="357" t="s">
        <v>48</v>
      </c>
      <c r="AI13" s="43">
        <v>4.0000000000000001E-3</v>
      </c>
      <c r="AJ13" s="1">
        <v>2.0000000000000001E-4</v>
      </c>
      <c r="AK13" s="1">
        <v>8.9999999999999998E-4</v>
      </c>
      <c r="AL13" s="376">
        <v>2.4E-2</v>
      </c>
      <c r="AM13" s="377">
        <v>0.01</v>
      </c>
      <c r="AN13" s="393" t="s">
        <v>90</v>
      </c>
      <c r="AO13" s="74">
        <f>N13+P13/6+Z13/15+T13/15+S13/5+U13/5+X13/5</f>
        <v>0.86946666666666661</v>
      </c>
      <c r="AP13" s="13">
        <f>N13+O13/30+P13/20+Z13/20+T13/60+S13/20+U13/15+X13/10+0.0002</f>
        <v>0.29808333333333331</v>
      </c>
      <c r="AQ13" s="81">
        <f>N13+(0.75+0.25*TANH(20*(N13-0.12)))*(O13/24+P13/6+Z13/15+T13/20+S13/5+U13/5+Y13/5+X13/5)</f>
        <v>0.46643653401571339</v>
      </c>
      <c r="AR13" s="85">
        <f>N13+P13/10+U13/10+S13/20+Z13/20+T13/40</f>
        <v>0.44345000000000001</v>
      </c>
    </row>
    <row r="14" spans="2:44" x14ac:dyDescent="0.25">
      <c r="B14" s="41" t="s">
        <v>74</v>
      </c>
      <c r="C14" s="1" t="s">
        <v>34</v>
      </c>
      <c r="D14" s="1">
        <v>3489</v>
      </c>
      <c r="E14" s="42" t="s">
        <v>39</v>
      </c>
      <c r="F14" s="1" t="s">
        <v>37</v>
      </c>
      <c r="G14" s="1" t="s">
        <v>36</v>
      </c>
      <c r="H14" s="8" t="s">
        <v>40</v>
      </c>
      <c r="I14" s="1">
        <v>11</v>
      </c>
      <c r="J14" s="1">
        <v>11</v>
      </c>
      <c r="K14" s="1">
        <v>11</v>
      </c>
      <c r="L14" s="1">
        <v>11</v>
      </c>
      <c r="M14" s="21"/>
      <c r="N14" s="354">
        <v>5.6000000000000001E-2</v>
      </c>
      <c r="O14" s="365">
        <v>0.37</v>
      </c>
      <c r="P14" s="365">
        <v>2.2799999999999998</v>
      </c>
      <c r="Q14" s="475">
        <v>8.0000000000000002E-3</v>
      </c>
      <c r="R14" s="475">
        <v>5.0000000000000001E-3</v>
      </c>
      <c r="S14" s="357">
        <v>0.53</v>
      </c>
      <c r="T14" s="369">
        <v>3.4</v>
      </c>
      <c r="U14" s="357">
        <v>0.62</v>
      </c>
      <c r="V14" s="1">
        <v>5.0000000000000001E-3</v>
      </c>
      <c r="W14" s="1">
        <v>1.7000000000000001E-2</v>
      </c>
      <c r="X14" s="357">
        <v>1.6E-2</v>
      </c>
      <c r="Y14" s="357">
        <v>8.9999999999999993E-3</v>
      </c>
      <c r="Z14" s="357">
        <v>8.9999999999999993E-3</v>
      </c>
      <c r="AA14" s="475">
        <v>4.0000000000000001E-3</v>
      </c>
      <c r="AB14" s="15">
        <v>2E-3</v>
      </c>
      <c r="AC14" s="476">
        <v>1.4999999999999999E-2</v>
      </c>
      <c r="AD14" s="1" t="s">
        <v>46</v>
      </c>
      <c r="AE14" s="1">
        <v>4.0000000000000001E-3</v>
      </c>
      <c r="AF14" s="1">
        <v>2E-3</v>
      </c>
      <c r="AG14" s="1" t="s">
        <v>47</v>
      </c>
      <c r="AH14" s="357" t="s">
        <v>48</v>
      </c>
      <c r="AI14" s="43">
        <v>4.0000000000000001E-3</v>
      </c>
      <c r="AJ14" s="1">
        <v>2.0000000000000001E-4</v>
      </c>
      <c r="AK14" s="1">
        <v>8.9999999999999998E-4</v>
      </c>
      <c r="AL14" s="376">
        <v>2.8000000000000001E-2</v>
      </c>
      <c r="AM14" s="377">
        <v>8.9999999999999993E-3</v>
      </c>
      <c r="AN14" s="393"/>
      <c r="AO14" s="74">
        <f>N14+P14/6+Z14/15+T14/15+S14/5+U14/5+X14/5</f>
        <v>0.89646666666666652</v>
      </c>
      <c r="AP14" s="13">
        <f>N14+O14/30+P14/20+Z14/20+T14/60+S14/20+U14/15+X14/10+0.0002</f>
        <v>0.30908333333333332</v>
      </c>
      <c r="AQ14" s="81">
        <f>N14+(0.75+0.25*TANH(20*(N14-0.12)))*(O14/24+P14/6+Z14/15+T14/20+S14/5+U14/5+Y14/5+X14/5)</f>
        <v>0.48524782698948454</v>
      </c>
      <c r="AR14" s="85">
        <f>N14+P14/10+U14/10+S14/20+Z14/20+T14/40</f>
        <v>0.45794999999999997</v>
      </c>
    </row>
    <row r="15" spans="2:44" x14ac:dyDescent="0.25">
      <c r="B15" s="41" t="s">
        <v>74</v>
      </c>
      <c r="C15" s="1" t="s">
        <v>34</v>
      </c>
      <c r="D15" s="1">
        <v>3490</v>
      </c>
      <c r="E15" s="42" t="s">
        <v>39</v>
      </c>
      <c r="F15" s="1" t="s">
        <v>38</v>
      </c>
      <c r="G15" s="1" t="s">
        <v>36</v>
      </c>
      <c r="H15" s="8" t="s">
        <v>40</v>
      </c>
      <c r="I15" s="1">
        <v>15</v>
      </c>
      <c r="J15" s="1">
        <v>9</v>
      </c>
      <c r="K15" s="1">
        <v>7</v>
      </c>
      <c r="L15" s="1">
        <v>7</v>
      </c>
      <c r="M15" s="21"/>
      <c r="N15" s="352">
        <v>0.1</v>
      </c>
      <c r="O15" s="365">
        <v>0.4</v>
      </c>
      <c r="P15" s="365">
        <v>0.97</v>
      </c>
      <c r="Q15" s="475">
        <v>8.0000000000000002E-3</v>
      </c>
      <c r="R15" s="475">
        <v>2E-3</v>
      </c>
      <c r="S15" s="357">
        <v>0.64</v>
      </c>
      <c r="T15" s="369">
        <v>3.3</v>
      </c>
      <c r="U15" s="357">
        <v>0.86</v>
      </c>
      <c r="V15" s="1">
        <v>3.0000000000000001E-3</v>
      </c>
      <c r="W15" s="1">
        <v>1.6E-2</v>
      </c>
      <c r="X15" s="357">
        <v>4.0000000000000001E-3</v>
      </c>
      <c r="Y15" s="357">
        <v>7.0000000000000001E-3</v>
      </c>
      <c r="Z15" s="357">
        <v>1.7000000000000001E-2</v>
      </c>
      <c r="AA15" s="475">
        <v>3.0000000000000001E-3</v>
      </c>
      <c r="AB15" s="15">
        <v>2E-3</v>
      </c>
      <c r="AC15" s="476">
        <v>1.7999999999999999E-2</v>
      </c>
      <c r="AD15" s="1" t="s">
        <v>46</v>
      </c>
      <c r="AE15" s="1">
        <v>3.0000000000000001E-3</v>
      </c>
      <c r="AF15" s="1">
        <v>1E-3</v>
      </c>
      <c r="AG15" s="1" t="s">
        <v>47</v>
      </c>
      <c r="AH15" s="357" t="s">
        <v>48</v>
      </c>
      <c r="AI15" s="43">
        <v>3.0000000000000001E-3</v>
      </c>
      <c r="AJ15" s="1">
        <v>2.0000000000000001E-4</v>
      </c>
      <c r="AK15" s="1">
        <v>6.9999999999999999E-4</v>
      </c>
      <c r="AL15" s="376">
        <v>2.1000000000000001E-2</v>
      </c>
      <c r="AM15" s="377">
        <v>1.0999999999999999E-2</v>
      </c>
      <c r="AN15" s="393"/>
      <c r="AO15" s="74">
        <f>N15+P15/6+Z15/15+T15/15+S15/5+U15/5+X15/5</f>
        <v>0.78359999999999996</v>
      </c>
      <c r="AP15" s="13">
        <f>N15+O15/30+P15/20+Z15/20+T15/60+S15/20+U15/15+X15/10+0.0002</f>
        <v>0.30761666666666665</v>
      </c>
      <c r="AQ15" s="81">
        <f>N15+(0.75+0.25*TANH(20*(N15-0.12)))*(O15/24+P15/6+Z15/15+T15/20+S15/5+U15/5+Y15/5+X15/5)</f>
        <v>0.52357491776873866</v>
      </c>
      <c r="AR15" s="85">
        <f>N15+P15/10+U15/10+S15/20+Z15/20+T15/40</f>
        <v>0.39835000000000009</v>
      </c>
    </row>
    <row r="16" spans="2:44" x14ac:dyDescent="0.25">
      <c r="B16" s="41" t="s">
        <v>74</v>
      </c>
      <c r="C16" s="1" t="s">
        <v>34</v>
      </c>
      <c r="D16" s="1">
        <v>3491</v>
      </c>
      <c r="E16" s="42" t="s">
        <v>39</v>
      </c>
      <c r="F16" s="1" t="s">
        <v>38</v>
      </c>
      <c r="G16" s="1" t="s">
        <v>36</v>
      </c>
      <c r="H16" s="8" t="s">
        <v>40</v>
      </c>
      <c r="I16" s="1">
        <v>11</v>
      </c>
      <c r="J16" s="1">
        <v>12</v>
      </c>
      <c r="K16" s="1">
        <v>11</v>
      </c>
      <c r="L16" s="1">
        <v>11</v>
      </c>
      <c r="M16" s="21"/>
      <c r="N16" s="352">
        <v>0.11</v>
      </c>
      <c r="O16" s="365">
        <v>0.44</v>
      </c>
      <c r="P16" s="365">
        <v>0.98</v>
      </c>
      <c r="Q16" s="475">
        <v>8.0000000000000002E-3</v>
      </c>
      <c r="R16" s="475">
        <v>2E-3</v>
      </c>
      <c r="S16" s="357">
        <v>0.63</v>
      </c>
      <c r="T16" s="369">
        <v>3.3</v>
      </c>
      <c r="U16" s="357">
        <v>0.85</v>
      </c>
      <c r="V16" s="1">
        <v>3.0000000000000001E-3</v>
      </c>
      <c r="W16" s="1">
        <v>1.7000000000000001E-2</v>
      </c>
      <c r="X16" s="357">
        <v>3.0000000000000001E-3</v>
      </c>
      <c r="Y16" s="357">
        <v>6.0000000000000001E-3</v>
      </c>
      <c r="Z16" s="357">
        <v>1.7000000000000001E-2</v>
      </c>
      <c r="AA16" s="475">
        <v>3.0000000000000001E-3</v>
      </c>
      <c r="AB16" s="15">
        <v>2E-3</v>
      </c>
      <c r="AC16" s="476">
        <v>2.3E-2</v>
      </c>
      <c r="AD16" s="1" t="s">
        <v>46</v>
      </c>
      <c r="AE16" s="1">
        <v>3.0000000000000001E-3</v>
      </c>
      <c r="AF16" s="1">
        <v>1E-3</v>
      </c>
      <c r="AG16" s="1" t="s">
        <v>47</v>
      </c>
      <c r="AH16" s="357" t="s">
        <v>48</v>
      </c>
      <c r="AI16" s="43">
        <v>2E-3</v>
      </c>
      <c r="AJ16" s="1">
        <v>2.0000000000000001E-4</v>
      </c>
      <c r="AK16" s="1">
        <v>6.9999999999999999E-4</v>
      </c>
      <c r="AL16" s="376">
        <v>1.7999999999999999E-2</v>
      </c>
      <c r="AM16" s="377">
        <v>7.0000000000000001E-3</v>
      </c>
      <c r="AN16" s="393"/>
      <c r="AO16" s="74">
        <f>N16+P16/6+Z16/15+T16/15+S16/5+U16/5+X16/5</f>
        <v>0.7910666666666667</v>
      </c>
      <c r="AP16" s="13">
        <f>N16+O16/30+P16/20+Z16/20+T16/60+S16/20+U16/15+X16/10+0.0002</f>
        <v>0.31818333333333332</v>
      </c>
      <c r="AQ16" s="81">
        <f>N16+(0.75+0.25*TANH(20*(N16-0.12)))*(O16/24+P16/6+Z16/15+T16/20+S16/5+U16/5+Y16/5+X16/5)</f>
        <v>0.56234362331570042</v>
      </c>
      <c r="AR16" s="85">
        <f>N16+P16/10+U16/10+S16/20+Z16/20+T16/40</f>
        <v>0.40785000000000005</v>
      </c>
    </row>
    <row r="17" spans="2:44" ht="6.75" customHeight="1" x14ac:dyDescent="0.25">
      <c r="B17" s="41"/>
      <c r="E17" s="42"/>
      <c r="H17" s="8"/>
      <c r="M17" s="21"/>
      <c r="N17" s="354"/>
      <c r="O17" s="365"/>
      <c r="P17" s="365"/>
      <c r="Q17" s="475"/>
      <c r="R17" s="475"/>
      <c r="S17" s="357"/>
      <c r="T17" s="369"/>
      <c r="U17" s="357"/>
      <c r="V17" s="1"/>
      <c r="W17" s="1"/>
      <c r="X17" s="357"/>
      <c r="Y17" s="357"/>
      <c r="Z17" s="357"/>
      <c r="AA17" s="475"/>
      <c r="AB17" s="15"/>
      <c r="AC17" s="476"/>
      <c r="AD17" s="1"/>
      <c r="AE17" s="1"/>
      <c r="AF17" s="1"/>
      <c r="AG17" s="1"/>
      <c r="AH17" s="357"/>
      <c r="AI17" s="43"/>
      <c r="AJ17" s="1"/>
      <c r="AK17" s="1"/>
      <c r="AL17" s="376"/>
      <c r="AM17" s="377"/>
      <c r="AN17" s="21"/>
      <c r="AO17" s="74"/>
      <c r="AP17" s="13"/>
      <c r="AQ17" s="81"/>
      <c r="AR17" s="85"/>
    </row>
    <row r="18" spans="2:44" ht="15" customHeight="1" x14ac:dyDescent="0.25">
      <c r="B18" s="41"/>
      <c r="C18" s="1" t="s">
        <v>34</v>
      </c>
      <c r="D18" s="1">
        <v>3670</v>
      </c>
      <c r="E18" s="10" t="s">
        <v>41</v>
      </c>
      <c r="F18" s="1" t="s">
        <v>37</v>
      </c>
      <c r="G18" s="1" t="s">
        <v>36</v>
      </c>
      <c r="H18" s="8" t="s">
        <v>43</v>
      </c>
      <c r="I18" s="1">
        <v>10</v>
      </c>
      <c r="J18" s="1">
        <v>8</v>
      </c>
      <c r="K18" s="1" t="s">
        <v>44</v>
      </c>
      <c r="L18" s="1">
        <v>5</v>
      </c>
      <c r="M18" s="21"/>
      <c r="N18" s="354">
        <v>6.7000000000000004E-2</v>
      </c>
      <c r="O18" s="365">
        <v>0.39</v>
      </c>
      <c r="P18" s="365">
        <v>2.25</v>
      </c>
      <c r="Q18" s="475">
        <v>8.0000000000000002E-3</v>
      </c>
      <c r="R18" s="475">
        <v>4.0000000000000001E-3</v>
      </c>
      <c r="S18" s="357">
        <v>0.49</v>
      </c>
      <c r="T18" s="369">
        <v>3.2</v>
      </c>
      <c r="U18" s="357">
        <v>0.59</v>
      </c>
      <c r="V18" s="1">
        <v>4.0000000000000001E-3</v>
      </c>
      <c r="W18" s="1">
        <v>1.7000000000000001E-2</v>
      </c>
      <c r="X18" s="357">
        <v>1.6E-2</v>
      </c>
      <c r="Y18" s="357">
        <v>1.0999999999999999E-2</v>
      </c>
      <c r="Z18" s="357">
        <v>8.0000000000000002E-3</v>
      </c>
      <c r="AA18" s="475">
        <v>5.0000000000000001E-3</v>
      </c>
      <c r="AB18" s="15">
        <v>2E-3</v>
      </c>
      <c r="AC18" s="476">
        <v>1.6E-2</v>
      </c>
      <c r="AD18" s="1" t="s">
        <v>46</v>
      </c>
      <c r="AE18" s="1">
        <v>4.0000000000000001E-3</v>
      </c>
      <c r="AF18" s="1">
        <v>2E-3</v>
      </c>
      <c r="AG18" s="1" t="s">
        <v>47</v>
      </c>
      <c r="AH18" s="357">
        <v>1E-4</v>
      </c>
      <c r="AI18" s="43">
        <v>4.0000000000000001E-3</v>
      </c>
      <c r="AJ18" s="1">
        <v>2.0000000000000001E-4</v>
      </c>
      <c r="AK18" s="1">
        <v>5.9999999999999995E-4</v>
      </c>
      <c r="AL18" s="376">
        <v>0.03</v>
      </c>
      <c r="AM18" s="377">
        <v>1.4E-2</v>
      </c>
      <c r="AN18" s="393" t="s">
        <v>90</v>
      </c>
      <c r="AO18" s="74">
        <f t="shared" ref="AO18:AO23" si="3">N18+P18/6+Z18/15+T18/15+S18/5+U18/5+X18/5</f>
        <v>0.87506666666666666</v>
      </c>
      <c r="AP18" s="13">
        <f t="shared" ref="AP18:AP23" si="4">N18+O18/30+P18/20+Z18/20+T18/60+S18/20+U18/15+X18/10+5*AH18</f>
        <v>0.3121666666666667</v>
      </c>
      <c r="AQ18" s="81">
        <f t="shared" ref="AQ18:AQ23" si="5">N18+(0.75+0.25*TANH(20*(N18-0.12)))*(O18/24+P18/6+Z18/15+T18/20+S18/5+U18/5+Y18/5+X18/5)</f>
        <v>0.49502194964950441</v>
      </c>
      <c r="AR18" s="85">
        <f t="shared" ref="AR18:AR23" si="6">N18+P18/10+U18/10+S18/20+Z18/20+T18/40</f>
        <v>0.45590000000000008</v>
      </c>
    </row>
    <row r="19" spans="2:44" x14ac:dyDescent="0.25">
      <c r="B19" s="41"/>
      <c r="C19" s="1" t="s">
        <v>34</v>
      </c>
      <c r="D19" s="1">
        <v>3671</v>
      </c>
      <c r="E19" s="10" t="s">
        <v>41</v>
      </c>
      <c r="F19" s="1" t="s">
        <v>37</v>
      </c>
      <c r="G19" s="1" t="s">
        <v>36</v>
      </c>
      <c r="H19" s="8" t="s">
        <v>43</v>
      </c>
      <c r="I19" s="1">
        <v>8</v>
      </c>
      <c r="J19" s="1">
        <v>13</v>
      </c>
      <c r="K19" s="1">
        <v>7</v>
      </c>
      <c r="L19" s="1">
        <v>7</v>
      </c>
      <c r="M19" s="21"/>
      <c r="N19" s="354">
        <v>6.7000000000000004E-2</v>
      </c>
      <c r="O19" s="365">
        <v>0.36</v>
      </c>
      <c r="P19" s="365">
        <v>2.09</v>
      </c>
      <c r="Q19" s="475">
        <v>6.0000000000000001E-3</v>
      </c>
      <c r="R19" s="475">
        <v>4.0000000000000001E-3</v>
      </c>
      <c r="S19" s="357">
        <v>0.51</v>
      </c>
      <c r="T19" s="369">
        <v>3.1</v>
      </c>
      <c r="U19" s="357">
        <v>0.57999999999999996</v>
      </c>
      <c r="V19" s="1">
        <v>4.0000000000000001E-3</v>
      </c>
      <c r="W19" s="1">
        <v>8.0000000000000002E-3</v>
      </c>
      <c r="X19" s="357">
        <v>1.4E-2</v>
      </c>
      <c r="Y19" s="357">
        <v>8.0000000000000002E-3</v>
      </c>
      <c r="Z19" s="357">
        <v>1.7999999999999999E-2</v>
      </c>
      <c r="AA19" s="475">
        <v>5.0000000000000001E-3</v>
      </c>
      <c r="AB19" s="15">
        <v>3.0000000000000001E-3</v>
      </c>
      <c r="AC19" s="476">
        <v>1.4999999999999999E-2</v>
      </c>
      <c r="AD19" s="1" t="s">
        <v>46</v>
      </c>
      <c r="AE19" s="1">
        <v>4.0000000000000001E-3</v>
      </c>
      <c r="AF19" s="1">
        <v>2E-3</v>
      </c>
      <c r="AG19" s="1" t="s">
        <v>47</v>
      </c>
      <c r="AH19" s="357">
        <v>2.0000000000000001E-4</v>
      </c>
      <c r="AI19" s="43">
        <v>4.0000000000000001E-3</v>
      </c>
      <c r="AJ19" s="1">
        <v>2.0000000000000001E-4</v>
      </c>
      <c r="AK19" s="1">
        <v>5.0000000000000001E-4</v>
      </c>
      <c r="AL19" s="376">
        <v>1.0999999999999999E-2</v>
      </c>
      <c r="AM19" s="377">
        <v>5.0000000000000001E-3</v>
      </c>
      <c r="AN19" s="393"/>
      <c r="AO19" s="74">
        <f t="shared" si="3"/>
        <v>0.84399999999999997</v>
      </c>
      <c r="AP19" s="13">
        <f t="shared" si="4"/>
        <v>0.30263333333333337</v>
      </c>
      <c r="AQ19" s="81">
        <f t="shared" si="5"/>
        <v>0.47772244854815243</v>
      </c>
      <c r="AR19" s="85">
        <f t="shared" si="6"/>
        <v>0.43790000000000007</v>
      </c>
    </row>
    <row r="20" spans="2:44" x14ac:dyDescent="0.25">
      <c r="B20" s="41"/>
      <c r="C20" s="1" t="s">
        <v>34</v>
      </c>
      <c r="D20" s="1">
        <v>4790</v>
      </c>
      <c r="E20" s="10" t="s">
        <v>41</v>
      </c>
      <c r="F20" s="1" t="s">
        <v>37</v>
      </c>
      <c r="G20" s="1" t="s">
        <v>36</v>
      </c>
      <c r="H20" s="8" t="s">
        <v>43</v>
      </c>
      <c r="I20" s="1">
        <v>6</v>
      </c>
      <c r="J20" s="1">
        <v>15</v>
      </c>
      <c r="K20" s="1" t="s">
        <v>234</v>
      </c>
      <c r="L20" s="1">
        <v>15</v>
      </c>
      <c r="M20" s="21"/>
      <c r="N20" s="354">
        <v>6.3E-2</v>
      </c>
      <c r="O20" s="365">
        <v>0.34</v>
      </c>
      <c r="P20" s="365">
        <v>2.16</v>
      </c>
      <c r="Q20" s="475">
        <v>6.0000000000000001E-3</v>
      </c>
      <c r="R20" s="475">
        <v>4.0000000000000001E-3</v>
      </c>
      <c r="S20" s="357">
        <v>0.53</v>
      </c>
      <c r="T20" s="369">
        <v>3.1</v>
      </c>
      <c r="U20" s="357">
        <v>0.59</v>
      </c>
      <c r="V20" s="1">
        <v>5.0000000000000001E-3</v>
      </c>
      <c r="W20" s="1">
        <v>8.0000000000000002E-3</v>
      </c>
      <c r="X20" s="357">
        <v>1.4E-2</v>
      </c>
      <c r="Y20" s="357">
        <v>8.9999999999999993E-3</v>
      </c>
      <c r="Z20" s="357">
        <v>1.9E-2</v>
      </c>
      <c r="AA20" s="475">
        <v>5.0000000000000001E-3</v>
      </c>
      <c r="AB20" s="15">
        <v>3.0000000000000001E-3</v>
      </c>
      <c r="AC20" s="476">
        <v>1.4E-2</v>
      </c>
      <c r="AD20" s="1" t="s">
        <v>49</v>
      </c>
      <c r="AE20" s="1">
        <v>4.0000000000000001E-3</v>
      </c>
      <c r="AF20" s="1">
        <v>2E-3</v>
      </c>
      <c r="AG20" s="1" t="s">
        <v>50</v>
      </c>
      <c r="AH20" s="357">
        <v>2.0000000000000001E-4</v>
      </c>
      <c r="AI20" s="43">
        <v>3.0000000000000001E-3</v>
      </c>
      <c r="AJ20" s="1">
        <v>2.0000000000000001E-4</v>
      </c>
      <c r="AK20" s="1">
        <v>6.9999999999999999E-4</v>
      </c>
      <c r="AL20" s="376">
        <v>2.5000000000000001E-2</v>
      </c>
      <c r="AM20" s="377">
        <v>0.01</v>
      </c>
      <c r="AN20" s="393"/>
      <c r="AO20" s="74">
        <f t="shared" si="3"/>
        <v>0.85773333333333335</v>
      </c>
      <c r="AP20" s="13">
        <f t="shared" si="4"/>
        <v>0.30318333333333336</v>
      </c>
      <c r="AQ20" s="81">
        <f t="shared" si="5"/>
        <v>0.47773313892384639</v>
      </c>
      <c r="AR20" s="85">
        <f t="shared" si="6"/>
        <v>0.44295000000000007</v>
      </c>
    </row>
    <row r="21" spans="2:44" x14ac:dyDescent="0.25">
      <c r="B21" s="41"/>
      <c r="C21" s="1" t="s">
        <v>34</v>
      </c>
      <c r="D21" s="1">
        <v>3672</v>
      </c>
      <c r="E21" s="10" t="s">
        <v>42</v>
      </c>
      <c r="F21" s="1" t="s">
        <v>38</v>
      </c>
      <c r="G21" s="1" t="s">
        <v>36</v>
      </c>
      <c r="H21" s="8" t="s">
        <v>43</v>
      </c>
      <c r="I21" s="1">
        <v>10</v>
      </c>
      <c r="J21" s="1">
        <v>8</v>
      </c>
      <c r="K21" s="1" t="s">
        <v>44</v>
      </c>
      <c r="L21" s="1">
        <v>5</v>
      </c>
      <c r="M21" s="21"/>
      <c r="N21" s="352">
        <v>0.11</v>
      </c>
      <c r="O21" s="365">
        <v>0.39</v>
      </c>
      <c r="P21" s="365">
        <v>1.04</v>
      </c>
      <c r="Q21" s="475">
        <v>8.0000000000000002E-3</v>
      </c>
      <c r="R21" s="475">
        <v>2E-3</v>
      </c>
      <c r="S21" s="357">
        <v>0.59</v>
      </c>
      <c r="T21" s="369">
        <v>3</v>
      </c>
      <c r="U21" s="357">
        <v>0.81</v>
      </c>
      <c r="V21" s="1">
        <v>2E-3</v>
      </c>
      <c r="W21" s="1">
        <v>1.6E-2</v>
      </c>
      <c r="X21" s="357">
        <v>7.0000000000000001E-3</v>
      </c>
      <c r="Y21" s="357">
        <v>8.9999999999999993E-3</v>
      </c>
      <c r="Z21" s="357">
        <v>1.4999999999999999E-2</v>
      </c>
      <c r="AA21" s="475">
        <v>6.0000000000000001E-3</v>
      </c>
      <c r="AB21" s="15">
        <v>2E-3</v>
      </c>
      <c r="AC21" s="476">
        <v>0.02</v>
      </c>
      <c r="AD21" s="1" t="s">
        <v>46</v>
      </c>
      <c r="AE21" s="1">
        <v>3.0000000000000001E-3</v>
      </c>
      <c r="AF21" s="1">
        <v>1E-3</v>
      </c>
      <c r="AG21" s="1" t="s">
        <v>47</v>
      </c>
      <c r="AH21" s="357">
        <v>2.0000000000000001E-4</v>
      </c>
      <c r="AI21" s="43">
        <v>2.0999999999999999E-3</v>
      </c>
      <c r="AJ21" s="1">
        <v>2.9999999999999997E-4</v>
      </c>
      <c r="AK21" s="1">
        <v>5.0000000000000001E-4</v>
      </c>
      <c r="AL21" s="376">
        <v>2.1000000000000001E-2</v>
      </c>
      <c r="AM21" s="377">
        <v>1.2E-2</v>
      </c>
      <c r="AN21" s="393"/>
      <c r="AO21" s="74">
        <f t="shared" si="3"/>
        <v>0.76573333333333338</v>
      </c>
      <c r="AP21" s="13">
        <f t="shared" si="4"/>
        <v>0.31094999999999995</v>
      </c>
      <c r="AQ21" s="81">
        <f t="shared" si="5"/>
        <v>0.54705764120809386</v>
      </c>
      <c r="AR21" s="85">
        <f t="shared" si="6"/>
        <v>0.40024999999999999</v>
      </c>
    </row>
    <row r="22" spans="2:44" x14ac:dyDescent="0.25">
      <c r="B22" s="41"/>
      <c r="C22" s="1" t="s">
        <v>34</v>
      </c>
      <c r="D22" s="1">
        <v>3673</v>
      </c>
      <c r="E22" s="10" t="s">
        <v>42</v>
      </c>
      <c r="F22" s="1" t="s">
        <v>38</v>
      </c>
      <c r="G22" s="1" t="s">
        <v>36</v>
      </c>
      <c r="H22" s="8" t="s">
        <v>43</v>
      </c>
      <c r="I22" s="1">
        <v>8</v>
      </c>
      <c r="J22" s="1">
        <v>13</v>
      </c>
      <c r="K22" s="1">
        <v>7</v>
      </c>
      <c r="L22" s="1">
        <v>7</v>
      </c>
      <c r="M22" s="21"/>
      <c r="N22" s="352">
        <v>0.11</v>
      </c>
      <c r="O22" s="365">
        <v>0.4</v>
      </c>
      <c r="P22" s="365">
        <v>0.98</v>
      </c>
      <c r="Q22" s="475">
        <v>7.0000000000000001E-3</v>
      </c>
      <c r="R22" s="475">
        <v>2E-3</v>
      </c>
      <c r="S22" s="357">
        <v>0.57999999999999996</v>
      </c>
      <c r="T22" s="369">
        <v>3</v>
      </c>
      <c r="U22" s="357">
        <v>0.79</v>
      </c>
      <c r="V22" s="1">
        <v>2E-3</v>
      </c>
      <c r="W22" s="1">
        <v>1.6E-2</v>
      </c>
      <c r="X22" s="357">
        <v>6.0000000000000001E-3</v>
      </c>
      <c r="Y22" s="357">
        <v>7.0000000000000001E-3</v>
      </c>
      <c r="Z22" s="357">
        <v>1.6E-2</v>
      </c>
      <c r="AA22" s="475">
        <v>4.0000000000000001E-3</v>
      </c>
      <c r="AB22" s="15">
        <v>2E-3</v>
      </c>
      <c r="AC22" s="476">
        <v>1.9E-2</v>
      </c>
      <c r="AD22" s="1" t="s">
        <v>46</v>
      </c>
      <c r="AE22" s="1">
        <v>3.0000000000000001E-3</v>
      </c>
      <c r="AF22" s="1">
        <v>1E-3</v>
      </c>
      <c r="AG22" s="1" t="s">
        <v>47</v>
      </c>
      <c r="AH22" s="357">
        <v>1.2E-4</v>
      </c>
      <c r="AI22" s="43">
        <v>3.0000000000000001E-3</v>
      </c>
      <c r="AJ22" s="1">
        <v>2.0000000000000001E-4</v>
      </c>
      <c r="AK22" s="1">
        <v>5.0000000000000001E-4</v>
      </c>
      <c r="AL22" s="376">
        <v>1.9E-2</v>
      </c>
      <c r="AM22" s="377">
        <v>5.0000000000000001E-3</v>
      </c>
      <c r="AN22" s="393"/>
      <c r="AO22" s="74">
        <f t="shared" si="3"/>
        <v>0.74960000000000004</v>
      </c>
      <c r="AP22" s="13">
        <f t="shared" si="4"/>
        <v>0.30599999999999994</v>
      </c>
      <c r="AQ22" s="81">
        <f t="shared" si="5"/>
        <v>0.53576539926916666</v>
      </c>
      <c r="AR22" s="85">
        <f t="shared" si="6"/>
        <v>0.39180000000000009</v>
      </c>
    </row>
    <row r="23" spans="2:44" x14ac:dyDescent="0.25">
      <c r="B23" s="41"/>
      <c r="C23" s="1" t="s">
        <v>34</v>
      </c>
      <c r="D23" s="1">
        <v>4791</v>
      </c>
      <c r="E23" s="10" t="s">
        <v>42</v>
      </c>
      <c r="F23" s="1" t="s">
        <v>38</v>
      </c>
      <c r="G23" s="1" t="s">
        <v>36</v>
      </c>
      <c r="H23" s="8" t="s">
        <v>43</v>
      </c>
      <c r="I23" s="1">
        <v>6</v>
      </c>
      <c r="J23" s="1">
        <v>15</v>
      </c>
      <c r="K23" s="1" t="s">
        <v>234</v>
      </c>
      <c r="L23" s="1">
        <v>15</v>
      </c>
      <c r="M23" s="21"/>
      <c r="N23" s="352">
        <v>0.12</v>
      </c>
      <c r="O23" s="365">
        <v>0.37</v>
      </c>
      <c r="P23" s="365">
        <v>0.99</v>
      </c>
      <c r="Q23" s="475">
        <v>7.0000000000000001E-3</v>
      </c>
      <c r="R23" s="475">
        <v>2E-3</v>
      </c>
      <c r="S23" s="357">
        <v>0.66</v>
      </c>
      <c r="T23" s="369">
        <v>3</v>
      </c>
      <c r="U23" s="357">
        <v>0.82</v>
      </c>
      <c r="V23" s="1">
        <v>3.0000000000000001E-3</v>
      </c>
      <c r="W23" s="1">
        <v>1.7000000000000001E-2</v>
      </c>
      <c r="X23" s="357">
        <v>6.0000000000000001E-3</v>
      </c>
      <c r="Y23" s="357">
        <v>7.0000000000000001E-3</v>
      </c>
      <c r="Z23" s="357">
        <v>1.4999999999999999E-2</v>
      </c>
      <c r="AA23" s="475">
        <v>3.0000000000000001E-3</v>
      </c>
      <c r="AB23" s="15">
        <v>2E-3</v>
      </c>
      <c r="AC23" s="476">
        <v>1.7000000000000001E-2</v>
      </c>
      <c r="AD23" s="1" t="s">
        <v>49</v>
      </c>
      <c r="AE23" s="1">
        <v>2E-3</v>
      </c>
      <c r="AF23" s="1">
        <v>2E-3</v>
      </c>
      <c r="AG23" s="1" t="s">
        <v>50</v>
      </c>
      <c r="AH23" s="357">
        <v>1E-4</v>
      </c>
      <c r="AI23" s="43">
        <v>1.8E-3</v>
      </c>
      <c r="AJ23" s="1">
        <v>1E-4</v>
      </c>
      <c r="AK23" s="1">
        <v>5.0000000000000001E-4</v>
      </c>
      <c r="AL23" s="376">
        <v>1.7999999999999999E-2</v>
      </c>
      <c r="AM23" s="377">
        <v>5.0000000000000001E-3</v>
      </c>
      <c r="AN23" s="393"/>
      <c r="AO23" s="74">
        <f t="shared" si="3"/>
        <v>0.78320000000000001</v>
      </c>
      <c r="AP23" s="13">
        <f t="shared" si="4"/>
        <v>0.32135000000000002</v>
      </c>
      <c r="AQ23" s="81">
        <f t="shared" si="5"/>
        <v>0.5925125</v>
      </c>
      <c r="AR23" s="85">
        <f t="shared" si="6"/>
        <v>0.40974999999999995</v>
      </c>
    </row>
    <row r="24" spans="2:44" ht="6.75" customHeight="1" x14ac:dyDescent="0.25">
      <c r="B24" s="41"/>
      <c r="E24" s="42"/>
      <c r="H24" s="8"/>
      <c r="M24" s="21"/>
      <c r="N24" s="354"/>
      <c r="O24" s="365"/>
      <c r="P24" s="365"/>
      <c r="Q24" s="475"/>
      <c r="R24" s="475"/>
      <c r="S24" s="357"/>
      <c r="T24" s="369"/>
      <c r="U24" s="357"/>
      <c r="V24" s="1"/>
      <c r="W24" s="1"/>
      <c r="X24" s="357"/>
      <c r="Y24" s="357"/>
      <c r="Z24" s="357"/>
      <c r="AA24" s="475"/>
      <c r="AB24" s="15"/>
      <c r="AC24" s="476"/>
      <c r="AD24" s="1"/>
      <c r="AE24" s="1"/>
      <c r="AF24" s="1"/>
      <c r="AG24" s="1"/>
      <c r="AH24" s="357"/>
      <c r="AI24" s="43"/>
      <c r="AJ24" s="1"/>
      <c r="AK24" s="1"/>
      <c r="AL24" s="376"/>
      <c r="AM24" s="377"/>
      <c r="AN24" s="21"/>
      <c r="AO24" s="74"/>
      <c r="AP24" s="13"/>
      <c r="AQ24" s="81"/>
      <c r="AR24" s="85"/>
    </row>
    <row r="25" spans="2:44" x14ac:dyDescent="0.25">
      <c r="B25" s="41" t="s">
        <v>85</v>
      </c>
      <c r="E25" s="42" t="s">
        <v>39</v>
      </c>
      <c r="F25" s="1" t="s">
        <v>52</v>
      </c>
      <c r="G25" s="1" t="s">
        <v>83</v>
      </c>
      <c r="H25" s="1" t="s">
        <v>85</v>
      </c>
      <c r="I25" s="42" t="s">
        <v>39</v>
      </c>
      <c r="J25" s="258"/>
      <c r="L25" s="42" t="s">
        <v>39</v>
      </c>
      <c r="M25" s="21"/>
      <c r="N25" s="352">
        <v>0.1</v>
      </c>
      <c r="O25" s="365">
        <v>0.77</v>
      </c>
      <c r="P25" s="365">
        <v>1.86</v>
      </c>
      <c r="Q25" s="475">
        <v>1.0999999999999999E-2</v>
      </c>
      <c r="R25" s="475">
        <v>8.9999999999999993E-3</v>
      </c>
      <c r="S25" s="357">
        <v>0.32</v>
      </c>
      <c r="T25" s="365">
        <v>1.85</v>
      </c>
      <c r="U25" s="357">
        <v>0.45</v>
      </c>
      <c r="X25" s="357">
        <v>0.01</v>
      </c>
      <c r="Z25" s="357">
        <v>0.04</v>
      </c>
      <c r="AA25" s="475" t="s">
        <v>86</v>
      </c>
      <c r="AC25" s="475" t="s">
        <v>86</v>
      </c>
      <c r="AG25" s="1">
        <v>0.01</v>
      </c>
      <c r="AM25" s="378"/>
      <c r="AN25" s="21"/>
      <c r="AO25" s="74">
        <f t="shared" ref="AO25:AO32" si="7">N25+P25/6+Z25/15+T25/15+S25/5+U25/5+X25/5</f>
        <v>0.69200000000000006</v>
      </c>
      <c r="AP25" s="13">
        <f t="shared" ref="AP25:AP32" si="8">N25+O25/30+P25/20+Z25/20+T25/60+S25/20+U25/15+X25/10+5*AH25</f>
        <v>0.29850000000000004</v>
      </c>
      <c r="AQ25" s="81">
        <f t="shared" ref="AQ25:AQ32" si="9">N25+(0.75+0.25*TANH(20*(N25-0.12)))*(O25/24+P25/6+Z25/15+T25/20+S25/5+U25/5+Y25/5+X25/5)</f>
        <v>0.48858631953552201</v>
      </c>
      <c r="AR25" s="85">
        <f t="shared" ref="AR25:AR32" si="10">N25+P25/10+U25/10+S25/20+Z25/20+T25/40</f>
        <v>0.39525000000000005</v>
      </c>
    </row>
    <row r="26" spans="2:44" x14ac:dyDescent="0.25">
      <c r="B26" s="41" t="s">
        <v>85</v>
      </c>
      <c r="E26" s="42" t="s">
        <v>39</v>
      </c>
      <c r="F26" s="1" t="s">
        <v>57</v>
      </c>
      <c r="G26" s="1" t="s">
        <v>83</v>
      </c>
      <c r="H26" s="1" t="s">
        <v>85</v>
      </c>
      <c r="I26" s="42" t="s">
        <v>39</v>
      </c>
      <c r="J26" s="258"/>
      <c r="L26" s="42" t="s">
        <v>39</v>
      </c>
      <c r="M26" s="21"/>
      <c r="N26" s="354">
        <v>0.08</v>
      </c>
      <c r="O26" s="365">
        <v>0.8</v>
      </c>
      <c r="P26" s="365">
        <v>1.75</v>
      </c>
      <c r="Q26" s="476">
        <v>0.01</v>
      </c>
      <c r="R26" s="475">
        <v>3.0000000000000001E-3</v>
      </c>
      <c r="S26" s="357">
        <v>0.41</v>
      </c>
      <c r="T26" s="369">
        <v>2.2200000000000002</v>
      </c>
      <c r="U26" s="357">
        <v>0.53</v>
      </c>
      <c r="X26" s="357">
        <v>0.01</v>
      </c>
      <c r="Z26" s="357">
        <v>0.105</v>
      </c>
      <c r="AA26" s="475">
        <v>0.01</v>
      </c>
      <c r="AC26" s="476">
        <v>0.05</v>
      </c>
      <c r="AG26" s="1" t="s">
        <v>86</v>
      </c>
      <c r="AM26" s="378"/>
      <c r="AN26" s="21"/>
      <c r="AO26" s="74">
        <f t="shared" si="7"/>
        <v>0.71666666666666667</v>
      </c>
      <c r="AP26" s="13">
        <f t="shared" si="8"/>
        <v>0.29325000000000001</v>
      </c>
      <c r="AQ26" s="81">
        <f t="shared" si="9"/>
        <v>0.44966618110511292</v>
      </c>
      <c r="AR26" s="85">
        <f t="shared" si="10"/>
        <v>0.38924999999999998</v>
      </c>
    </row>
    <row r="27" spans="2:44" x14ac:dyDescent="0.25">
      <c r="B27" s="41" t="s">
        <v>88</v>
      </c>
      <c r="C27" s="1" t="s">
        <v>54</v>
      </c>
      <c r="E27" s="42" t="s">
        <v>39</v>
      </c>
      <c r="F27" s="1" t="s">
        <v>52</v>
      </c>
      <c r="G27" s="1" t="s">
        <v>83</v>
      </c>
      <c r="H27" s="1" t="s">
        <v>81</v>
      </c>
      <c r="I27" s="42" t="s">
        <v>39</v>
      </c>
      <c r="J27" s="258" t="s">
        <v>235</v>
      </c>
      <c r="K27" s="42"/>
      <c r="L27" s="1">
        <v>5</v>
      </c>
      <c r="M27" s="21"/>
      <c r="N27" s="354">
        <v>8.6999999999999994E-2</v>
      </c>
      <c r="O27" s="365">
        <v>0.56999999999999995</v>
      </c>
      <c r="P27" s="365">
        <v>1.55</v>
      </c>
      <c r="Q27" s="475">
        <v>0.01</v>
      </c>
      <c r="R27" s="475">
        <v>7.0000000000000001E-3</v>
      </c>
      <c r="S27" s="357">
        <v>0.28000000000000003</v>
      </c>
      <c r="T27" s="369">
        <v>1.86</v>
      </c>
      <c r="U27" s="357">
        <v>0.43</v>
      </c>
      <c r="V27" s="1">
        <v>6.0000000000000001E-3</v>
      </c>
      <c r="W27" s="1">
        <v>5.1000000000000004E-3</v>
      </c>
      <c r="X27" s="357">
        <v>3.0000000000000001E-3</v>
      </c>
      <c r="Y27" s="357">
        <v>4.0000000000000001E-3</v>
      </c>
      <c r="Z27" s="357">
        <v>3.1E-2</v>
      </c>
      <c r="AA27" s="475">
        <v>3.0000000000000001E-3</v>
      </c>
      <c r="AB27" s="15">
        <v>3.0000000000000001E-3</v>
      </c>
      <c r="AC27" s="476">
        <v>2E-3</v>
      </c>
      <c r="AD27" s="1" t="s">
        <v>46</v>
      </c>
      <c r="AE27" s="1">
        <v>2E-3</v>
      </c>
      <c r="AF27" s="1">
        <v>2E-3</v>
      </c>
      <c r="AG27" s="1" t="s">
        <v>47</v>
      </c>
      <c r="AH27" s="357">
        <v>8.0000000000000004E-4</v>
      </c>
      <c r="AI27" s="43">
        <v>3.0000000000000001E-3</v>
      </c>
      <c r="AJ27" s="1">
        <v>2.0000000000000001E-4</v>
      </c>
      <c r="AL27" s="357">
        <v>2.4E-2</v>
      </c>
      <c r="AM27" s="377">
        <v>1.6E-2</v>
      </c>
      <c r="AN27" s="401" t="s">
        <v>87</v>
      </c>
      <c r="AO27" s="74">
        <f t="shared" si="7"/>
        <v>0.6140000000000001</v>
      </c>
      <c r="AP27" s="13">
        <f t="shared" si="8"/>
        <v>0.26301666666666668</v>
      </c>
      <c r="AQ27" s="81">
        <f t="shared" si="9"/>
        <v>0.40214573133492071</v>
      </c>
      <c r="AR27" s="85">
        <f t="shared" si="10"/>
        <v>0.34704999999999997</v>
      </c>
    </row>
    <row r="28" spans="2:44" x14ac:dyDescent="0.25">
      <c r="B28" s="41" t="s">
        <v>88</v>
      </c>
      <c r="C28" s="1" t="s">
        <v>54</v>
      </c>
      <c r="E28" s="42" t="s">
        <v>39</v>
      </c>
      <c r="F28" s="1" t="s">
        <v>57</v>
      </c>
      <c r="G28" s="1" t="s">
        <v>83</v>
      </c>
      <c r="H28" s="1" t="s">
        <v>81</v>
      </c>
      <c r="I28" s="42" t="s">
        <v>39</v>
      </c>
      <c r="J28" s="258" t="s">
        <v>235</v>
      </c>
      <c r="K28" s="42"/>
      <c r="L28" s="1">
        <v>5</v>
      </c>
      <c r="M28" s="21"/>
      <c r="N28" s="354">
        <v>8.2000000000000003E-2</v>
      </c>
      <c r="O28" s="365">
        <v>0.7</v>
      </c>
      <c r="P28" s="365">
        <v>1.6</v>
      </c>
      <c r="Q28" s="475">
        <v>4.0000000000000001E-3</v>
      </c>
      <c r="R28" s="475">
        <v>4.0000000000000001E-3</v>
      </c>
      <c r="S28" s="357">
        <v>0.39</v>
      </c>
      <c r="T28" s="369">
        <v>2.2400000000000002</v>
      </c>
      <c r="U28" s="357">
        <v>0.55000000000000004</v>
      </c>
      <c r="V28" s="1">
        <v>6.0000000000000001E-3</v>
      </c>
      <c r="W28" s="1">
        <v>8.0000000000000002E-3</v>
      </c>
      <c r="X28" s="357">
        <v>6.0000000000000001E-3</v>
      </c>
      <c r="Y28" s="357">
        <v>5.0000000000000001E-3</v>
      </c>
      <c r="Z28" s="357">
        <v>3.4000000000000002E-2</v>
      </c>
      <c r="AA28" s="475">
        <v>6.0000000000000001E-3</v>
      </c>
      <c r="AB28" s="15">
        <v>4.0000000000000001E-3</v>
      </c>
      <c r="AC28" s="476">
        <v>2.1000000000000001E-2</v>
      </c>
      <c r="AD28" s="1" t="s">
        <v>46</v>
      </c>
      <c r="AE28" s="1">
        <v>3.0000000000000001E-3</v>
      </c>
      <c r="AF28" s="1">
        <v>2E-3</v>
      </c>
      <c r="AG28" s="1" t="s">
        <v>47</v>
      </c>
      <c r="AH28" s="357">
        <v>6.9999999999999999E-4</v>
      </c>
      <c r="AI28" s="43">
        <v>4.0000000000000001E-3</v>
      </c>
      <c r="AJ28" s="1">
        <v>1E-4</v>
      </c>
      <c r="AL28" s="357">
        <v>2.5999999999999999E-2</v>
      </c>
      <c r="AM28" s="377">
        <v>1.0999999999999999E-2</v>
      </c>
      <c r="AN28" s="401"/>
      <c r="AO28" s="74">
        <f t="shared" si="7"/>
        <v>0.68946666666666656</v>
      </c>
      <c r="AP28" s="13">
        <f t="shared" si="8"/>
        <v>0.28463333333333335</v>
      </c>
      <c r="AQ28" s="81">
        <f t="shared" si="9"/>
        <v>0.43601537505010918</v>
      </c>
      <c r="AR28" s="85">
        <f t="shared" si="10"/>
        <v>0.37419999999999998</v>
      </c>
    </row>
    <row r="29" spans="2:44" x14ac:dyDescent="0.25">
      <c r="B29" s="41" t="s">
        <v>88</v>
      </c>
      <c r="C29" s="1" t="s">
        <v>54</v>
      </c>
      <c r="E29" s="42" t="s">
        <v>39</v>
      </c>
      <c r="F29" s="1" t="s">
        <v>51</v>
      </c>
      <c r="G29" s="1" t="s">
        <v>83</v>
      </c>
      <c r="H29" s="1" t="s">
        <v>81</v>
      </c>
      <c r="I29" s="42" t="s">
        <v>39</v>
      </c>
      <c r="J29" s="42"/>
      <c r="K29" s="42"/>
      <c r="L29" s="42" t="s">
        <v>39</v>
      </c>
      <c r="M29" s="21"/>
      <c r="N29" s="354">
        <v>0.09</v>
      </c>
      <c r="O29" s="365">
        <v>0.51</v>
      </c>
      <c r="P29" s="365">
        <v>1.33</v>
      </c>
      <c r="Q29" s="475">
        <v>0.01</v>
      </c>
      <c r="R29" s="475">
        <v>1.2E-2</v>
      </c>
      <c r="S29" s="357">
        <v>0.51</v>
      </c>
      <c r="T29" s="369">
        <v>2.71</v>
      </c>
      <c r="U29" s="357">
        <v>0.69</v>
      </c>
      <c r="V29" s="1">
        <v>4.0000000000000001E-3</v>
      </c>
      <c r="W29" s="1">
        <v>7.0000000000000001E-3</v>
      </c>
      <c r="X29" s="357">
        <v>2E-3</v>
      </c>
      <c r="Y29" s="357">
        <v>5.0000000000000001E-3</v>
      </c>
      <c r="Z29" s="357">
        <v>2.3E-2</v>
      </c>
      <c r="AA29" s="475">
        <v>5.0000000000000001E-3</v>
      </c>
      <c r="AB29" s="15">
        <v>2E-3</v>
      </c>
      <c r="AC29" s="476">
        <v>7.0000000000000001E-3</v>
      </c>
      <c r="AD29" s="1" t="s">
        <v>46</v>
      </c>
      <c r="AE29" s="1">
        <v>3.0000000000000001E-3</v>
      </c>
      <c r="AF29" s="1">
        <v>2E-3</v>
      </c>
      <c r="AG29" s="1" t="s">
        <v>47</v>
      </c>
      <c r="AH29" s="357">
        <v>2.9999999999999997E-4</v>
      </c>
      <c r="AI29" s="43">
        <v>3.0000000000000001E-3</v>
      </c>
      <c r="AJ29" s="1">
        <v>5.0000000000000001E-4</v>
      </c>
      <c r="AL29" s="357">
        <v>2.7E-2</v>
      </c>
      <c r="AM29" s="377">
        <v>4.0000000000000001E-3</v>
      </c>
      <c r="AN29" s="401"/>
      <c r="AO29" s="74">
        <f t="shared" si="7"/>
        <v>0.73426666666666662</v>
      </c>
      <c r="AP29" s="13">
        <f t="shared" si="8"/>
        <v>0.29301666666666665</v>
      </c>
      <c r="AQ29" s="81">
        <f t="shared" si="9"/>
        <v>0.47258856288644269</v>
      </c>
      <c r="AR29" s="85">
        <f t="shared" si="10"/>
        <v>0.38639999999999997</v>
      </c>
    </row>
    <row r="30" spans="2:44" x14ac:dyDescent="0.25">
      <c r="B30" s="41" t="s">
        <v>88</v>
      </c>
      <c r="C30" s="1" t="s">
        <v>54</v>
      </c>
      <c r="E30" s="42" t="s">
        <v>39</v>
      </c>
      <c r="F30" s="1" t="s">
        <v>53</v>
      </c>
      <c r="G30" s="1" t="s">
        <v>83</v>
      </c>
      <c r="H30" s="1" t="s">
        <v>81</v>
      </c>
      <c r="I30" s="42" t="s">
        <v>39</v>
      </c>
      <c r="J30" s="42"/>
      <c r="K30" s="42"/>
      <c r="L30" s="42" t="s">
        <v>39</v>
      </c>
      <c r="M30" s="21"/>
      <c r="N30" s="352">
        <v>0.1</v>
      </c>
      <c r="O30" s="365">
        <v>0.54</v>
      </c>
      <c r="P30" s="365">
        <v>1.26</v>
      </c>
      <c r="Q30" s="475">
        <v>0.01</v>
      </c>
      <c r="R30" s="475">
        <v>8.0000000000000002E-3</v>
      </c>
      <c r="S30" s="357">
        <v>0.55000000000000004</v>
      </c>
      <c r="T30" s="369">
        <v>2.62</v>
      </c>
      <c r="U30" s="357">
        <v>0.71</v>
      </c>
      <c r="V30" s="1">
        <v>5.0000000000000001E-3</v>
      </c>
      <c r="W30" s="1">
        <v>8.0000000000000002E-3</v>
      </c>
      <c r="X30" s="357">
        <v>3.0000000000000001E-3</v>
      </c>
      <c r="Y30" s="357">
        <v>4.0000000000000001E-3</v>
      </c>
      <c r="Z30" s="357">
        <v>2.8000000000000001E-2</v>
      </c>
      <c r="AA30" s="475">
        <v>0.01</v>
      </c>
      <c r="AB30" s="15">
        <v>3.0000000000000001E-3</v>
      </c>
      <c r="AC30" s="476">
        <v>1.2E-2</v>
      </c>
      <c r="AD30" s="1" t="s">
        <v>46</v>
      </c>
      <c r="AE30" s="1">
        <v>3.0000000000000001E-3</v>
      </c>
      <c r="AF30" s="1">
        <v>2E-3</v>
      </c>
      <c r="AG30" s="1" t="s">
        <v>47</v>
      </c>
      <c r="AH30" s="357">
        <v>2.0000000000000001E-4</v>
      </c>
      <c r="AI30" s="43">
        <v>3.0000000000000001E-3</v>
      </c>
      <c r="AJ30" s="1">
        <v>6.9999999999999999E-4</v>
      </c>
      <c r="AL30" s="357">
        <v>2.8000000000000001E-2</v>
      </c>
      <c r="AM30" s="377">
        <v>5.0000000000000001E-3</v>
      </c>
      <c r="AN30" s="401"/>
      <c r="AO30" s="74">
        <f t="shared" si="7"/>
        <v>0.73913333333333342</v>
      </c>
      <c r="AP30" s="13">
        <f t="shared" si="8"/>
        <v>0.30220000000000002</v>
      </c>
      <c r="AQ30" s="81">
        <f t="shared" si="9"/>
        <v>0.50530006178046893</v>
      </c>
      <c r="AR30" s="85">
        <f t="shared" si="10"/>
        <v>0.39140000000000003</v>
      </c>
    </row>
    <row r="31" spans="2:44" x14ac:dyDescent="0.25">
      <c r="B31" s="41" t="s">
        <v>74</v>
      </c>
      <c r="C31" s="1" t="s">
        <v>54</v>
      </c>
      <c r="E31" s="42" t="s">
        <v>39</v>
      </c>
      <c r="F31" s="1" t="s">
        <v>51</v>
      </c>
      <c r="G31" s="1" t="s">
        <v>83</v>
      </c>
      <c r="H31" s="8" t="s">
        <v>40</v>
      </c>
      <c r="I31" s="42" t="s">
        <v>39</v>
      </c>
      <c r="J31" s="258" t="s">
        <v>233</v>
      </c>
      <c r="K31" s="42"/>
      <c r="L31" s="1">
        <v>6</v>
      </c>
      <c r="M31" s="21"/>
      <c r="N31" s="354">
        <v>0.09</v>
      </c>
      <c r="O31" s="365">
        <v>0.56999999999999995</v>
      </c>
      <c r="P31" s="365">
        <v>1.36</v>
      </c>
      <c r="Q31" s="475">
        <v>8.9999999999999993E-3</v>
      </c>
      <c r="R31" s="475">
        <v>8.9999999999999993E-3</v>
      </c>
      <c r="S31" s="357">
        <v>0.5</v>
      </c>
      <c r="T31" s="369">
        <v>2.6</v>
      </c>
      <c r="U31" s="357">
        <v>0.66</v>
      </c>
      <c r="V31" s="1"/>
      <c r="W31" s="1"/>
      <c r="X31" s="357">
        <v>3.0000000000000001E-3</v>
      </c>
      <c r="Y31" s="357">
        <v>7.0000000000000001E-3</v>
      </c>
      <c r="Z31" s="357"/>
      <c r="AA31" s="475"/>
      <c r="AB31" s="15"/>
      <c r="AC31" s="476"/>
      <c r="AD31" s="1"/>
      <c r="AE31" s="1"/>
      <c r="AF31" s="1"/>
      <c r="AG31" s="1"/>
      <c r="AH31" s="357">
        <v>2.0000000000000001E-4</v>
      </c>
      <c r="AI31" s="43"/>
      <c r="AJ31" s="1"/>
      <c r="AL31" s="357">
        <v>2.1000000000000001E-2</v>
      </c>
      <c r="AM31" s="379">
        <v>4.0000000000000001E-3</v>
      </c>
      <c r="AN31" s="21"/>
      <c r="AO31" s="74">
        <f t="shared" si="7"/>
        <v>0.72260000000000002</v>
      </c>
      <c r="AP31" s="13">
        <f t="shared" si="8"/>
        <v>0.29063333333333335</v>
      </c>
      <c r="AQ31" s="81">
        <f t="shared" si="9"/>
        <v>0.4683194488025727</v>
      </c>
      <c r="AR31" s="85">
        <f t="shared" si="10"/>
        <v>0.38200000000000006</v>
      </c>
    </row>
    <row r="32" spans="2:44" x14ac:dyDescent="0.25">
      <c r="B32" s="41" t="s">
        <v>74</v>
      </c>
      <c r="C32" s="1" t="s">
        <v>54</v>
      </c>
      <c r="E32" s="42" t="s">
        <v>39</v>
      </c>
      <c r="F32" s="1" t="s">
        <v>53</v>
      </c>
      <c r="G32" s="1" t="s">
        <v>83</v>
      </c>
      <c r="H32" s="8" t="s">
        <v>40</v>
      </c>
      <c r="I32" s="42" t="s">
        <v>39</v>
      </c>
      <c r="J32" s="258" t="s">
        <v>233</v>
      </c>
      <c r="K32" s="42"/>
      <c r="L32" s="1">
        <v>6</v>
      </c>
      <c r="M32" s="21"/>
      <c r="N32" s="352">
        <v>0.11</v>
      </c>
      <c r="O32" s="365">
        <v>0.56000000000000005</v>
      </c>
      <c r="P32" s="365">
        <v>1.29</v>
      </c>
      <c r="Q32" s="475">
        <v>0.01</v>
      </c>
      <c r="R32" s="475">
        <v>0.01</v>
      </c>
      <c r="S32" s="357">
        <v>0.56999999999999995</v>
      </c>
      <c r="T32" s="369">
        <v>2.44</v>
      </c>
      <c r="U32" s="357">
        <v>0.72</v>
      </c>
      <c r="X32" s="357">
        <v>4.0000000000000001E-3</v>
      </c>
      <c r="Y32" s="357">
        <v>7.0000000000000001E-3</v>
      </c>
      <c r="AH32" s="357">
        <v>2.0000000000000001E-4</v>
      </c>
      <c r="AL32" s="357">
        <v>2.1999999999999999E-2</v>
      </c>
      <c r="AM32" s="379">
        <v>3.0000000000000001E-3</v>
      </c>
      <c r="AN32" s="21"/>
      <c r="AO32" s="74">
        <f t="shared" si="7"/>
        <v>0.74646666666666672</v>
      </c>
      <c r="AP32" s="13">
        <f t="shared" si="8"/>
        <v>0.31173333333333331</v>
      </c>
      <c r="AQ32" s="81">
        <f t="shared" si="9"/>
        <v>0.54478050865577654</v>
      </c>
      <c r="AR32" s="85">
        <f t="shared" si="10"/>
        <v>0.40050000000000002</v>
      </c>
    </row>
    <row r="33" spans="2:53" ht="6.75" customHeight="1" x14ac:dyDescent="0.25">
      <c r="B33" s="41"/>
      <c r="E33" s="42"/>
      <c r="H33" s="8"/>
      <c r="M33" s="21"/>
      <c r="N33" s="354"/>
      <c r="O33" s="365"/>
      <c r="P33" s="365"/>
      <c r="Q33" s="475"/>
      <c r="R33" s="475"/>
      <c r="S33" s="357"/>
      <c r="T33" s="369"/>
      <c r="U33" s="357"/>
      <c r="V33" s="1"/>
      <c r="W33" s="1"/>
      <c r="X33" s="357"/>
      <c r="Y33" s="357"/>
      <c r="Z33" s="357"/>
      <c r="AA33" s="475"/>
      <c r="AB33" s="15"/>
      <c r="AC33" s="476"/>
      <c r="AD33" s="1"/>
      <c r="AE33" s="1"/>
      <c r="AF33" s="1"/>
      <c r="AG33" s="1"/>
      <c r="AH33" s="357"/>
      <c r="AI33" s="43"/>
      <c r="AJ33" s="1"/>
      <c r="AK33" s="1"/>
      <c r="AL33" s="376"/>
      <c r="AM33" s="377"/>
      <c r="AN33" s="21"/>
      <c r="AO33" s="74"/>
      <c r="AP33" s="13"/>
      <c r="AQ33" s="81"/>
      <c r="AR33" s="85"/>
    </row>
    <row r="34" spans="2:53" x14ac:dyDescent="0.25">
      <c r="B34" s="48">
        <v>3</v>
      </c>
      <c r="C34" s="49" t="s">
        <v>54</v>
      </c>
      <c r="D34" s="49">
        <v>4361</v>
      </c>
      <c r="E34" s="25" t="s">
        <v>41</v>
      </c>
      <c r="F34" s="49" t="s">
        <v>52</v>
      </c>
      <c r="G34" s="1" t="s">
        <v>83</v>
      </c>
      <c r="H34" s="26" t="s">
        <v>43</v>
      </c>
      <c r="I34" s="49"/>
      <c r="J34" s="49"/>
      <c r="K34" s="49"/>
      <c r="L34" s="49" t="s">
        <v>55</v>
      </c>
      <c r="M34" s="27"/>
      <c r="N34" s="355" t="s">
        <v>99</v>
      </c>
      <c r="V34" s="50"/>
      <c r="W34" s="50"/>
      <c r="AB34" s="50"/>
      <c r="AD34" s="50"/>
      <c r="AE34" s="50"/>
      <c r="AF34" s="50"/>
      <c r="AG34" s="50"/>
      <c r="AI34" s="50"/>
      <c r="AJ34" s="50"/>
      <c r="AK34" s="50"/>
      <c r="AM34" s="378"/>
      <c r="AN34" s="21"/>
      <c r="AO34" s="74"/>
      <c r="AP34" s="13"/>
      <c r="AQ34" s="81"/>
      <c r="AR34" s="85"/>
    </row>
    <row r="35" spans="2:53" ht="15.75" thickBot="1" x14ac:dyDescent="0.3">
      <c r="B35" s="48">
        <v>4</v>
      </c>
      <c r="C35" s="49" t="s">
        <v>54</v>
      </c>
      <c r="D35" s="49">
        <v>4362</v>
      </c>
      <c r="E35" s="25" t="s">
        <v>41</v>
      </c>
      <c r="F35" s="49" t="s">
        <v>52</v>
      </c>
      <c r="G35" s="1" t="s">
        <v>83</v>
      </c>
      <c r="H35" s="26" t="s">
        <v>43</v>
      </c>
      <c r="I35" s="49"/>
      <c r="J35" s="49"/>
      <c r="K35" s="49"/>
      <c r="L35" s="49" t="s">
        <v>56</v>
      </c>
      <c r="M35" s="27"/>
      <c r="N35" s="355" t="s">
        <v>99</v>
      </c>
      <c r="V35" s="50"/>
      <c r="W35" s="50"/>
      <c r="AB35" s="50"/>
      <c r="AD35" s="50"/>
      <c r="AE35" s="50"/>
      <c r="AF35" s="50"/>
      <c r="AG35" s="50"/>
      <c r="AI35" s="50"/>
      <c r="AJ35" s="50"/>
      <c r="AK35" s="50"/>
      <c r="AM35" s="378"/>
      <c r="AN35" s="21"/>
      <c r="AO35" s="74"/>
      <c r="AP35" s="13"/>
      <c r="AQ35" s="81"/>
      <c r="AR35" s="85"/>
      <c r="AW35" t="s">
        <v>226</v>
      </c>
    </row>
    <row r="36" spans="2:53" x14ac:dyDescent="0.25">
      <c r="B36" s="41">
        <v>5</v>
      </c>
      <c r="C36" s="1" t="s">
        <v>54</v>
      </c>
      <c r="D36" s="49">
        <v>4363</v>
      </c>
      <c r="E36" s="10" t="s">
        <v>42</v>
      </c>
      <c r="F36" s="1" t="s">
        <v>57</v>
      </c>
      <c r="G36" s="1" t="s">
        <v>83</v>
      </c>
      <c r="H36" s="8" t="s">
        <v>43</v>
      </c>
      <c r="I36" s="1">
        <v>3</v>
      </c>
      <c r="K36" s="1">
        <v>10</v>
      </c>
      <c r="L36" s="1">
        <v>10</v>
      </c>
      <c r="M36" s="21"/>
      <c r="N36" s="356">
        <v>0.121</v>
      </c>
      <c r="O36" s="357">
        <v>0.57999999999999996</v>
      </c>
      <c r="P36" s="357">
        <v>1.56</v>
      </c>
      <c r="Q36" s="475">
        <v>4.0000000000000001E-3</v>
      </c>
      <c r="R36" s="475">
        <v>3.0000000000000001E-3</v>
      </c>
      <c r="S36" s="357">
        <v>0.33</v>
      </c>
      <c r="T36" s="357">
        <v>1.49</v>
      </c>
      <c r="U36" s="357">
        <v>0.56999999999999995</v>
      </c>
      <c r="V36" s="1">
        <v>6.0000000000000001E-3</v>
      </c>
      <c r="W36" s="15">
        <v>0.01</v>
      </c>
      <c r="X36" s="357">
        <v>1.7000000000000001E-2</v>
      </c>
      <c r="Y36" s="357">
        <v>8.9999999999999993E-3</v>
      </c>
      <c r="Z36" s="357">
        <v>2.4E-2</v>
      </c>
      <c r="AA36" s="475">
        <v>2.4E-2</v>
      </c>
      <c r="AB36" s="1">
        <v>3.0000000000000001E-3</v>
      </c>
      <c r="AC36" s="475">
        <v>2.8000000000000001E-2</v>
      </c>
      <c r="AD36" s="1" t="s">
        <v>46</v>
      </c>
      <c r="AE36" s="1">
        <v>2E-3</v>
      </c>
      <c r="AF36" s="1">
        <v>2E-3</v>
      </c>
      <c r="AG36" s="1" t="s">
        <v>47</v>
      </c>
      <c r="AH36" s="373">
        <v>1E-3</v>
      </c>
      <c r="AI36" s="1">
        <v>4.0000000000000001E-3</v>
      </c>
      <c r="AJ36" s="1">
        <v>2.9999999999999997E-4</v>
      </c>
      <c r="AK36" s="1">
        <v>5.9999999999999995E-4</v>
      </c>
      <c r="AL36" s="357">
        <v>2.7E-2</v>
      </c>
      <c r="AM36" s="377">
        <v>0.01</v>
      </c>
      <c r="AN36" s="21" t="s">
        <v>90</v>
      </c>
      <c r="AO36" s="74">
        <f>N36+P36/6+Z36/15+T36/15+S36/5+U36/5+X36/5</f>
        <v>0.66533333333333333</v>
      </c>
      <c r="AP36" s="13">
        <f>N36+O36/30+P36/20+Z36/20+T36/60+S36/20+U36/15+X36/10+5*AH36</f>
        <v>0.30556666666666665</v>
      </c>
      <c r="AQ36" s="81">
        <f>N36+(0.75+0.25*TANH(20*(N36-0.12)))*(O36/24+P36/6+Z36/15+T36/20+S36/5+U36/5+Y36/5+X36/5)</f>
        <v>0.53282696974706256</v>
      </c>
      <c r="AR36" s="85">
        <f>N36+P36/10+U36/10+S36/20+Z36/20+T36/40</f>
        <v>0.38895000000000002</v>
      </c>
      <c r="AT36" s="112" t="s">
        <v>219</v>
      </c>
      <c r="AU36" s="39" t="s">
        <v>220</v>
      </c>
      <c r="AV36" s="39" t="s">
        <v>221</v>
      </c>
      <c r="AW36" s="39" t="s">
        <v>221</v>
      </c>
      <c r="AX36" s="39" t="s">
        <v>222</v>
      </c>
      <c r="AY36" s="39" t="s">
        <v>223</v>
      </c>
      <c r="AZ36" s="39" t="s">
        <v>224</v>
      </c>
      <c r="BA36" s="40" t="s">
        <v>225</v>
      </c>
    </row>
    <row r="37" spans="2:53" x14ac:dyDescent="0.25">
      <c r="B37" s="41">
        <v>5</v>
      </c>
      <c r="C37" s="1" t="s">
        <v>54</v>
      </c>
      <c r="D37" s="49">
        <v>4363</v>
      </c>
      <c r="E37" s="10" t="s">
        <v>42</v>
      </c>
      <c r="F37" s="1" t="s">
        <v>57</v>
      </c>
      <c r="G37" s="1" t="s">
        <v>83</v>
      </c>
      <c r="H37" s="8" t="s">
        <v>43</v>
      </c>
      <c r="I37" s="1">
        <v>3</v>
      </c>
      <c r="K37" s="1">
        <v>10</v>
      </c>
      <c r="L37" s="1">
        <v>10</v>
      </c>
      <c r="M37" s="21"/>
      <c r="N37" s="354">
        <v>0.115</v>
      </c>
      <c r="O37" s="357">
        <v>0.56999999999999995</v>
      </c>
      <c r="P37" s="357">
        <v>1.56</v>
      </c>
      <c r="Q37" s="475">
        <v>5.0000000000000001E-3</v>
      </c>
      <c r="R37" s="475">
        <v>4.3E-3</v>
      </c>
      <c r="S37" s="357">
        <v>0.33</v>
      </c>
      <c r="T37" s="357">
        <v>1.47</v>
      </c>
      <c r="U37" s="357">
        <v>0.56000000000000005</v>
      </c>
      <c r="V37" s="1">
        <v>5.0000000000000001E-3</v>
      </c>
      <c r="W37" s="15">
        <v>0.01</v>
      </c>
      <c r="X37" s="357">
        <v>1.7000000000000001E-2</v>
      </c>
      <c r="Y37" s="357">
        <v>8.9999999999999993E-3</v>
      </c>
      <c r="Z37" s="357">
        <v>2.4E-2</v>
      </c>
      <c r="AA37" s="475">
        <v>2.1999999999999999E-2</v>
      </c>
      <c r="AB37" s="1">
        <v>3.0000000000000001E-3</v>
      </c>
      <c r="AC37" s="475">
        <v>2.4E-2</v>
      </c>
      <c r="AD37" s="1" t="s">
        <v>46</v>
      </c>
      <c r="AE37" s="1">
        <v>2E-3</v>
      </c>
      <c r="AF37" s="1">
        <v>2E-3</v>
      </c>
      <c r="AG37" s="1" t="s">
        <v>47</v>
      </c>
      <c r="AH37" s="357">
        <v>8.9999999999999998E-4</v>
      </c>
      <c r="AI37" s="1">
        <v>4.0000000000000001E-3</v>
      </c>
      <c r="AJ37" s="1">
        <v>2.9999999999999997E-4</v>
      </c>
      <c r="AK37" s="1">
        <v>5.9999999999999995E-4</v>
      </c>
      <c r="AL37" s="357"/>
      <c r="AM37" s="379"/>
      <c r="AN37" s="21" t="s">
        <v>100</v>
      </c>
      <c r="AO37" s="74">
        <f>N37+P37/6+Z37/15+T37/15+S37/5+U37/5+X37/5</f>
        <v>0.65599999999999992</v>
      </c>
      <c r="AP37" s="13">
        <f>N37+O37/30+P37/20+Z37/20+T37/60+S37/20+U37/15+X37/10+5*AH37</f>
        <v>0.29773333333333335</v>
      </c>
      <c r="AQ37" s="81">
        <f>N37+(0.75+0.25*TANH(20*(N37-0.12)))*(O37/24+P37/6+Z37/15+T37/20+S37/5+U37/5+Y37/5+X37/5)</f>
        <v>0.5080312408783858</v>
      </c>
      <c r="AR37" s="85">
        <f>N37+P37/10+U37/10+S37/20+Z37/20+T37/40</f>
        <v>0.38145000000000001</v>
      </c>
      <c r="AT37" s="240">
        <v>10.499997</v>
      </c>
      <c r="AU37" s="241">
        <v>11.357139000000002</v>
      </c>
      <c r="AV37" s="241">
        <v>6.7142839999999993</v>
      </c>
      <c r="AW37" s="241"/>
      <c r="AX37" s="241">
        <v>14.642853000000001</v>
      </c>
      <c r="AY37" s="241">
        <v>15.428567000000001</v>
      </c>
      <c r="AZ37" s="241">
        <v>14.071424</v>
      </c>
      <c r="BA37" s="242">
        <v>13.857139</v>
      </c>
    </row>
    <row r="38" spans="2:53" x14ac:dyDescent="0.25">
      <c r="B38" s="41">
        <v>6</v>
      </c>
      <c r="C38" s="1" t="s">
        <v>54</v>
      </c>
      <c r="D38" s="49">
        <v>4364</v>
      </c>
      <c r="E38" s="10" t="s">
        <v>42</v>
      </c>
      <c r="F38" s="1" t="s">
        <v>57</v>
      </c>
      <c r="G38" s="1" t="s">
        <v>83</v>
      </c>
      <c r="H38" s="8" t="s">
        <v>43</v>
      </c>
      <c r="I38" s="1">
        <v>3</v>
      </c>
      <c r="K38" s="1">
        <v>14</v>
      </c>
      <c r="L38" s="1">
        <v>14</v>
      </c>
      <c r="M38" s="21"/>
      <c r="N38" s="354">
        <v>0.11</v>
      </c>
      <c r="O38" s="357">
        <v>0.64</v>
      </c>
      <c r="P38" s="357">
        <v>1.55</v>
      </c>
      <c r="Q38" s="475">
        <v>4.0000000000000001E-3</v>
      </c>
      <c r="R38" s="475">
        <v>3.0000000000000001E-3</v>
      </c>
      <c r="S38" s="357">
        <v>0.36</v>
      </c>
      <c r="T38" s="357">
        <v>1.78</v>
      </c>
      <c r="U38" s="357">
        <v>0.56999999999999995</v>
      </c>
      <c r="V38" s="1">
        <v>6.0000000000000001E-3</v>
      </c>
      <c r="W38" s="1">
        <v>8.9999999999999993E-3</v>
      </c>
      <c r="X38" s="357">
        <v>1.2999999999999999E-2</v>
      </c>
      <c r="Y38" s="357">
        <v>7.0000000000000001E-3</v>
      </c>
      <c r="Z38" s="357">
        <v>2.7E-2</v>
      </c>
      <c r="AA38" s="475">
        <v>1.6E-2</v>
      </c>
      <c r="AB38" s="1">
        <v>3.0000000000000001E-3</v>
      </c>
      <c r="AC38" s="476">
        <v>0.03</v>
      </c>
      <c r="AD38" s="1" t="s">
        <v>46</v>
      </c>
      <c r="AE38" s="1">
        <v>2E-3</v>
      </c>
      <c r="AF38" s="1">
        <v>2E-3</v>
      </c>
      <c r="AG38" s="1" t="s">
        <v>47</v>
      </c>
      <c r="AH38" s="357">
        <v>8.0000000000000004E-4</v>
      </c>
      <c r="AI38" s="1">
        <v>4.0000000000000001E-3</v>
      </c>
      <c r="AJ38" s="1">
        <v>2.0000000000000001E-4</v>
      </c>
      <c r="AK38" s="1">
        <v>5.0000000000000001E-4</v>
      </c>
      <c r="AL38" s="357">
        <v>2.8000000000000001E-2</v>
      </c>
      <c r="AM38" s="379">
        <v>7.0000000000000001E-3</v>
      </c>
      <c r="AN38" s="21" t="s">
        <v>90</v>
      </c>
      <c r="AO38" s="74">
        <f>N38+P38/6+Z38/15+T38/15+S38/5+U38/5+X38/5</f>
        <v>0.6774</v>
      </c>
      <c r="AP38" s="13">
        <f>N38+O38/30+P38/20+Z38/20+T38/60+S38/20+U38/15+X38/10+5*AH38</f>
        <v>0.30114999999999997</v>
      </c>
      <c r="AQ38" s="81">
        <f>N38+(0.75+0.25*TANH(20*(N38-0.12)))*(O38/24+P38/6+Z38/15+T38/20+S38/5+U38/5+Y38/5+X38/5)</f>
        <v>0.50643126095418745</v>
      </c>
      <c r="AR38" s="85">
        <f>N38+P38/10+U38/10+S38/20+Z38/20+T38/40</f>
        <v>0.38585000000000003</v>
      </c>
      <c r="AT38" s="210"/>
      <c r="BA38" s="46"/>
    </row>
    <row r="39" spans="2:53" ht="15.75" thickBot="1" x14ac:dyDescent="0.3">
      <c r="B39" s="41">
        <v>6</v>
      </c>
      <c r="C39" s="1" t="s">
        <v>54</v>
      </c>
      <c r="D39" s="49">
        <v>4364</v>
      </c>
      <c r="E39" s="10" t="s">
        <v>42</v>
      </c>
      <c r="F39" s="1" t="s">
        <v>57</v>
      </c>
      <c r="G39" s="1" t="s">
        <v>83</v>
      </c>
      <c r="H39" s="8" t="s">
        <v>43</v>
      </c>
      <c r="I39" s="1">
        <v>3</v>
      </c>
      <c r="K39" s="1">
        <v>14</v>
      </c>
      <c r="L39" s="1">
        <v>14</v>
      </c>
      <c r="M39" s="21"/>
      <c r="N39" s="354">
        <v>0.108</v>
      </c>
      <c r="O39" s="365">
        <v>0.6</v>
      </c>
      <c r="P39" s="357">
        <v>1.57</v>
      </c>
      <c r="Q39" s="475">
        <v>4.0000000000000001E-3</v>
      </c>
      <c r="R39" s="475">
        <v>4.8999999999999998E-3</v>
      </c>
      <c r="S39" s="357">
        <v>0.34</v>
      </c>
      <c r="T39" s="357">
        <v>1.67</v>
      </c>
      <c r="U39" s="357">
        <v>0.56000000000000005</v>
      </c>
      <c r="V39" s="1">
        <v>6.0000000000000001E-3</v>
      </c>
      <c r="W39" s="15">
        <v>0.01</v>
      </c>
      <c r="X39" s="357">
        <v>1.4999999999999999E-2</v>
      </c>
      <c r="Y39" s="357">
        <v>8.0000000000000002E-3</v>
      </c>
      <c r="Z39" s="357">
        <v>2.5999999999999999E-2</v>
      </c>
      <c r="AA39" s="475">
        <v>1.4999999999999999E-2</v>
      </c>
      <c r="AB39" s="1">
        <v>4.0000000000000001E-3</v>
      </c>
      <c r="AC39" s="476">
        <v>0.02</v>
      </c>
      <c r="AD39" s="1" t="s">
        <v>46</v>
      </c>
      <c r="AE39" s="1">
        <v>2E-3</v>
      </c>
      <c r="AF39" s="1">
        <v>2E-3</v>
      </c>
      <c r="AG39" s="1" t="s">
        <v>47</v>
      </c>
      <c r="AH39" s="357">
        <v>8.9999999999999998E-4</v>
      </c>
      <c r="AI39" s="1">
        <v>4.0000000000000001E-3</v>
      </c>
      <c r="AJ39" s="1">
        <v>2.0000000000000001E-4</v>
      </c>
      <c r="AK39" s="1">
        <v>5.9999999999999995E-4</v>
      </c>
      <c r="AL39" s="357"/>
      <c r="AM39" s="379"/>
      <c r="AN39" s="21" t="s">
        <v>100</v>
      </c>
      <c r="AO39" s="74">
        <f>N39+P39/6+Z39/15+T39/15+S39/5+U39/5+X39/5</f>
        <v>0.66573333333333329</v>
      </c>
      <c r="AP39" s="13">
        <f>N39+O39/30+P39/20+Z39/20+T39/60+S39/20+U39/15+X39/10+5*AH39</f>
        <v>0.29596666666666666</v>
      </c>
      <c r="AQ39" s="81">
        <f>N39+(0.75+0.25*TANH(20*(N39-0.12)))*(O39/24+P39/6+Z39/15+T39/20+S39/5+U39/5+Y39/5+X39/5)</f>
        <v>0.49261165384545658</v>
      </c>
      <c r="AR39" s="85">
        <f>N39+P39/10+U39/10+S39/20+Z39/20+T39/40</f>
        <v>0.38105000000000006</v>
      </c>
      <c r="AT39" s="226"/>
      <c r="AU39" s="78"/>
      <c r="AV39" s="78"/>
      <c r="AW39" s="78"/>
      <c r="AX39" s="78"/>
      <c r="AY39" s="244">
        <f>(AX37+AY37+AZ37+BA37)/4</f>
        <v>14.49999575</v>
      </c>
      <c r="AZ39" s="78"/>
      <c r="BA39" s="201"/>
    </row>
    <row r="40" spans="2:53" ht="6.75" customHeight="1" x14ac:dyDescent="0.25">
      <c r="B40" s="41"/>
      <c r="E40" s="42"/>
      <c r="H40" s="8"/>
      <c r="M40" s="21"/>
      <c r="N40" s="354"/>
      <c r="O40" s="365"/>
      <c r="P40" s="365"/>
      <c r="Q40" s="475"/>
      <c r="R40" s="475"/>
      <c r="S40" s="357"/>
      <c r="T40" s="369"/>
      <c r="U40" s="357"/>
      <c r="V40" s="1"/>
      <c r="W40" s="1"/>
      <c r="X40" s="357"/>
      <c r="Y40" s="357"/>
      <c r="Z40" s="357"/>
      <c r="AA40" s="475"/>
      <c r="AB40" s="15"/>
      <c r="AC40" s="476"/>
      <c r="AD40" s="1"/>
      <c r="AE40" s="1"/>
      <c r="AF40" s="1"/>
      <c r="AG40" s="1"/>
      <c r="AH40" s="357"/>
      <c r="AI40" s="43"/>
      <c r="AJ40" s="1"/>
      <c r="AK40" s="1"/>
      <c r="AL40" s="376"/>
      <c r="AM40" s="377"/>
      <c r="AN40" s="21"/>
      <c r="AO40" s="74"/>
      <c r="AP40" s="13"/>
      <c r="AQ40" s="81"/>
      <c r="AR40" s="85"/>
    </row>
    <row r="41" spans="2:53" x14ac:dyDescent="0.25">
      <c r="B41" s="41">
        <v>1</v>
      </c>
      <c r="C41" s="1" t="s">
        <v>54</v>
      </c>
      <c r="D41" s="49">
        <v>4706</v>
      </c>
      <c r="E41" s="10" t="s">
        <v>41</v>
      </c>
      <c r="F41" s="1" t="s">
        <v>51</v>
      </c>
      <c r="G41" s="1" t="s">
        <v>83</v>
      </c>
      <c r="H41" s="8" t="s">
        <v>43</v>
      </c>
      <c r="I41" s="1">
        <v>3</v>
      </c>
      <c r="K41" s="1">
        <v>10</v>
      </c>
      <c r="L41" s="1">
        <v>10</v>
      </c>
      <c r="M41" s="21"/>
      <c r="N41" s="352">
        <v>0.124</v>
      </c>
      <c r="O41" s="357">
        <v>0.44</v>
      </c>
      <c r="P41" s="357">
        <v>1.28</v>
      </c>
      <c r="Q41" s="475">
        <v>0.01</v>
      </c>
      <c r="R41" s="476">
        <v>7.6E-3</v>
      </c>
      <c r="S41" s="357">
        <v>0.44</v>
      </c>
      <c r="T41" s="357">
        <v>1.7</v>
      </c>
      <c r="U41" s="357">
        <v>0.49</v>
      </c>
      <c r="V41" s="1">
        <v>2E-3</v>
      </c>
      <c r="W41" s="1">
        <v>0.01</v>
      </c>
      <c r="X41" s="357">
        <v>5.0000000000000001E-3</v>
      </c>
      <c r="Y41" s="357">
        <v>2E-3</v>
      </c>
      <c r="Z41" s="357">
        <v>1.6E-2</v>
      </c>
      <c r="AA41" s="475">
        <v>1.7999999999999999E-2</v>
      </c>
      <c r="AB41" s="1">
        <v>2E-3</v>
      </c>
      <c r="AC41" s="475">
        <v>8.0000000000000002E-3</v>
      </c>
      <c r="AD41" s="1" t="s">
        <v>46</v>
      </c>
      <c r="AE41" s="1">
        <v>1.9E-3</v>
      </c>
      <c r="AF41" s="1">
        <v>2E-3</v>
      </c>
      <c r="AG41" s="1" t="s">
        <v>47</v>
      </c>
      <c r="AH41" s="357">
        <v>6.9999999999999999E-4</v>
      </c>
      <c r="AI41" s="15">
        <v>1.8E-3</v>
      </c>
      <c r="AJ41" s="1">
        <v>2.5999999999999999E-3</v>
      </c>
      <c r="AK41" s="1">
        <v>2E-3</v>
      </c>
      <c r="AL41" s="357"/>
      <c r="AM41" s="377">
        <v>3.2000000000000002E-3</v>
      </c>
      <c r="AN41" s="385" t="s">
        <v>158</v>
      </c>
      <c r="AO41" s="74">
        <f t="shared" ref="AO41:AO46" si="11">N41+P41/6+Z41/15+T41/15+S41/5+U41/5+X41/5</f>
        <v>0.63873333333333338</v>
      </c>
      <c r="AP41" s="13">
        <f t="shared" ref="AP41:AP46" si="12">N41+O41/30+P41/20+Z41/20+T41/60+S41/20+U41/15+X41/10+5*AH41</f>
        <v>0.29046666666666665</v>
      </c>
      <c r="AQ41" s="81">
        <f t="shared" ref="AQ41:AQ46" si="13">N41+(0.75+0.25*TANH(20*(N41-0.12)))*(O41/24+P41/6+Z41/15+T41/20+S41/5+U41/5+Y41/5+X41/5)</f>
        <v>0.51293116934258398</v>
      </c>
      <c r="AR41" s="85">
        <f t="shared" ref="AR41:AR46" si="14">N41+P41/10+U41/10+S41/20+Z41/20+T41/40</f>
        <v>0.36630000000000001</v>
      </c>
    </row>
    <row r="42" spans="2:53" x14ac:dyDescent="0.25">
      <c r="B42" s="41">
        <v>2</v>
      </c>
      <c r="C42" s="1" t="s">
        <v>54</v>
      </c>
      <c r="D42" s="49">
        <v>4707</v>
      </c>
      <c r="E42" s="10" t="s">
        <v>41</v>
      </c>
      <c r="F42" s="1" t="s">
        <v>51</v>
      </c>
      <c r="G42" s="1" t="s">
        <v>83</v>
      </c>
      <c r="H42" s="8" t="s">
        <v>43</v>
      </c>
      <c r="I42" s="1">
        <v>3</v>
      </c>
      <c r="K42" s="1">
        <v>14</v>
      </c>
      <c r="L42" s="1">
        <v>14</v>
      </c>
      <c r="M42" s="21"/>
      <c r="N42" s="352">
        <v>0.13</v>
      </c>
      <c r="O42" s="357">
        <v>0.44</v>
      </c>
      <c r="P42" s="357">
        <v>1.2</v>
      </c>
      <c r="Q42" s="475">
        <v>8.0000000000000002E-3</v>
      </c>
      <c r="R42" s="476">
        <v>1.6500000000000001E-2</v>
      </c>
      <c r="S42" s="357">
        <v>0.46</v>
      </c>
      <c r="T42" s="357">
        <v>1.62</v>
      </c>
      <c r="U42" s="357">
        <v>0.48</v>
      </c>
      <c r="V42" s="1">
        <v>2E-3</v>
      </c>
      <c r="W42" s="1">
        <v>0.01</v>
      </c>
      <c r="X42" s="357">
        <v>5.0000000000000001E-3</v>
      </c>
      <c r="Y42" s="357">
        <v>2E-3</v>
      </c>
      <c r="Z42" s="357">
        <v>1.4999999999999999E-2</v>
      </c>
      <c r="AA42" s="475">
        <v>1.7000000000000001E-2</v>
      </c>
      <c r="AB42" s="1" t="s">
        <v>46</v>
      </c>
      <c r="AC42" s="475">
        <v>8.0000000000000002E-3</v>
      </c>
      <c r="AD42" s="1" t="s">
        <v>46</v>
      </c>
      <c r="AE42" s="1">
        <v>1.4E-3</v>
      </c>
      <c r="AF42" s="1" t="s">
        <v>46</v>
      </c>
      <c r="AG42" s="1" t="s">
        <v>47</v>
      </c>
      <c r="AH42" s="357">
        <v>6.9999999999999999E-4</v>
      </c>
      <c r="AI42" s="15">
        <v>3.0000000000000001E-3</v>
      </c>
      <c r="AJ42" s="1">
        <v>6.2399999999999997E-2</v>
      </c>
      <c r="AK42" s="1">
        <v>1.2999999999999999E-2</v>
      </c>
      <c r="AL42" s="357"/>
      <c r="AM42" s="377">
        <v>8.8000000000000005E-3</v>
      </c>
      <c r="AN42" s="385"/>
      <c r="AO42" s="74">
        <f t="shared" si="11"/>
        <v>0.62799999999999989</v>
      </c>
      <c r="AP42" s="13">
        <f t="shared" si="12"/>
        <v>0.29141666666666666</v>
      </c>
      <c r="AQ42" s="81">
        <f t="shared" si="13"/>
        <v>0.52146531837286902</v>
      </c>
      <c r="AR42" s="85">
        <f t="shared" si="14"/>
        <v>0.36224999999999996</v>
      </c>
    </row>
    <row r="43" spans="2:53" ht="15.75" thickBot="1" x14ac:dyDescent="0.3">
      <c r="B43" s="41">
        <v>3</v>
      </c>
      <c r="C43" s="1" t="s">
        <v>54</v>
      </c>
      <c r="D43" s="49">
        <v>4708</v>
      </c>
      <c r="E43" s="10" t="s">
        <v>41</v>
      </c>
      <c r="F43" s="1" t="s">
        <v>52</v>
      </c>
      <c r="G43" s="1" t="s">
        <v>83</v>
      </c>
      <c r="H43" s="8" t="s">
        <v>43</v>
      </c>
      <c r="I43" s="1">
        <v>3</v>
      </c>
      <c r="K43" s="1">
        <v>10</v>
      </c>
      <c r="L43" s="1">
        <v>10</v>
      </c>
      <c r="M43" s="21"/>
      <c r="N43" s="352">
        <v>0.10100000000000001</v>
      </c>
      <c r="O43" s="357">
        <v>0.52</v>
      </c>
      <c r="P43" s="357">
        <v>1.53</v>
      </c>
      <c r="Q43" s="475">
        <v>1.0999999999999999E-2</v>
      </c>
      <c r="R43" s="476">
        <v>6.4000000000000003E-3</v>
      </c>
      <c r="S43" s="357">
        <v>0.3</v>
      </c>
      <c r="T43" s="357">
        <v>1.34</v>
      </c>
      <c r="U43" s="357">
        <v>0.35</v>
      </c>
      <c r="V43" s="1">
        <v>4.0000000000000001E-3</v>
      </c>
      <c r="W43" s="1">
        <v>8.0000000000000002E-3</v>
      </c>
      <c r="X43" s="357">
        <v>5.0000000000000001E-3</v>
      </c>
      <c r="Y43" s="357">
        <v>2E-3</v>
      </c>
      <c r="Z43" s="357">
        <v>2.3E-2</v>
      </c>
      <c r="AA43" s="475">
        <v>1.4E-2</v>
      </c>
      <c r="AB43" s="1">
        <v>2E-3</v>
      </c>
      <c r="AC43" s="475">
        <v>3.3999999999999998E-3</v>
      </c>
      <c r="AD43" s="1" t="s">
        <v>46</v>
      </c>
      <c r="AE43" s="1">
        <v>1.6999999999999999E-3</v>
      </c>
      <c r="AF43" s="1">
        <v>2E-3</v>
      </c>
      <c r="AG43" s="1" t="s">
        <v>47</v>
      </c>
      <c r="AH43" s="357">
        <v>1E-3</v>
      </c>
      <c r="AI43" s="15">
        <v>1.4E-3</v>
      </c>
      <c r="AJ43" s="1">
        <v>2.9999999999999997E-4</v>
      </c>
      <c r="AK43" s="1">
        <v>4.0000000000000002E-4</v>
      </c>
      <c r="AL43" s="357"/>
      <c r="AM43" s="377">
        <v>3.5999999999999999E-3</v>
      </c>
      <c r="AN43" s="385"/>
      <c r="AO43" s="74">
        <f t="shared" si="11"/>
        <v>0.57786666666666653</v>
      </c>
      <c r="AP43" s="13">
        <f t="shared" si="12"/>
        <v>0.26215000000000005</v>
      </c>
      <c r="AQ43" s="81">
        <f t="shared" si="13"/>
        <v>0.41523340523807528</v>
      </c>
      <c r="AR43" s="85">
        <f t="shared" si="14"/>
        <v>0.33865000000000001</v>
      </c>
      <c r="AW43" t="s">
        <v>227</v>
      </c>
    </row>
    <row r="44" spans="2:53" x14ac:dyDescent="0.25">
      <c r="B44" s="41">
        <v>4</v>
      </c>
      <c r="C44" s="1" t="s">
        <v>54</v>
      </c>
      <c r="D44" s="49">
        <v>4709</v>
      </c>
      <c r="E44" s="10" t="s">
        <v>41</v>
      </c>
      <c r="F44" s="1" t="s">
        <v>52</v>
      </c>
      <c r="G44" s="1" t="s">
        <v>83</v>
      </c>
      <c r="H44" s="8" t="s">
        <v>43</v>
      </c>
      <c r="I44" s="1">
        <v>3</v>
      </c>
      <c r="K44" s="1">
        <v>14</v>
      </c>
      <c r="L44" s="1">
        <v>14</v>
      </c>
      <c r="M44" s="21"/>
      <c r="N44" s="352">
        <v>0.104</v>
      </c>
      <c r="O44" s="357">
        <v>0.49</v>
      </c>
      <c r="P44" s="357">
        <v>1.48</v>
      </c>
      <c r="Q44" s="475">
        <v>0.01</v>
      </c>
      <c r="R44" s="476">
        <v>6.1999999999999998E-3</v>
      </c>
      <c r="S44" s="357">
        <v>0.3</v>
      </c>
      <c r="T44" s="357">
        <v>1.26</v>
      </c>
      <c r="U44" s="357">
        <v>0.34</v>
      </c>
      <c r="V44" s="1">
        <v>4.0000000000000001E-3</v>
      </c>
      <c r="W44" s="1">
        <v>8.0000000000000002E-3</v>
      </c>
      <c r="X44" s="357">
        <v>5.0000000000000001E-3</v>
      </c>
      <c r="Y44" s="357">
        <v>2E-3</v>
      </c>
      <c r="Z44" s="357">
        <v>2.1999999999999999E-2</v>
      </c>
      <c r="AA44" s="475">
        <v>1.4E-2</v>
      </c>
      <c r="AB44" s="1">
        <v>2E-3</v>
      </c>
      <c r="AC44" s="475">
        <v>3.3999999999999998E-3</v>
      </c>
      <c r="AD44" s="1" t="s">
        <v>46</v>
      </c>
      <c r="AE44" s="1">
        <v>1.6000000000000001E-3</v>
      </c>
      <c r="AF44" s="1">
        <v>2E-3</v>
      </c>
      <c r="AG44" s="1" t="s">
        <v>47</v>
      </c>
      <c r="AH44" s="357">
        <v>1.1000000000000001E-3</v>
      </c>
      <c r="AI44" s="15">
        <v>1.8E-3</v>
      </c>
      <c r="AJ44" s="1">
        <v>5.0000000000000001E-4</v>
      </c>
      <c r="AK44" s="1">
        <v>5.0000000000000001E-4</v>
      </c>
      <c r="AL44" s="357"/>
      <c r="AM44" s="377">
        <v>3.0000000000000001E-3</v>
      </c>
      <c r="AN44" s="385"/>
      <c r="AO44" s="74">
        <f t="shared" si="11"/>
        <v>0.56513333333333338</v>
      </c>
      <c r="AP44" s="13">
        <f t="shared" si="12"/>
        <v>0.26009999999999994</v>
      </c>
      <c r="AQ44" s="81">
        <f t="shared" si="13"/>
        <v>0.41404569616675857</v>
      </c>
      <c r="AR44" s="85">
        <f t="shared" si="14"/>
        <v>0.33360000000000001</v>
      </c>
      <c r="AT44" s="112" t="s">
        <v>219</v>
      </c>
      <c r="AU44" s="39" t="s">
        <v>220</v>
      </c>
      <c r="AV44" s="39" t="s">
        <v>228</v>
      </c>
      <c r="AW44" s="39" t="s">
        <v>221</v>
      </c>
      <c r="AX44" s="39" t="s">
        <v>222</v>
      </c>
      <c r="AY44" s="39" t="s">
        <v>223</v>
      </c>
      <c r="AZ44" s="39" t="s">
        <v>224</v>
      </c>
      <c r="BA44" s="40" t="s">
        <v>225</v>
      </c>
    </row>
    <row r="45" spans="2:53" x14ac:dyDescent="0.25">
      <c r="B45" s="41">
        <v>7</v>
      </c>
      <c r="C45" s="1" t="s">
        <v>54</v>
      </c>
      <c r="D45" s="49">
        <v>4710</v>
      </c>
      <c r="E45" s="10" t="s">
        <v>42</v>
      </c>
      <c r="F45" s="1" t="s">
        <v>53</v>
      </c>
      <c r="G45" s="1" t="s">
        <v>83</v>
      </c>
      <c r="H45" s="8" t="s">
        <v>43</v>
      </c>
      <c r="I45" s="1">
        <v>3</v>
      </c>
      <c r="K45" s="1">
        <v>10</v>
      </c>
      <c r="L45" s="1">
        <v>10</v>
      </c>
      <c r="M45" s="21"/>
      <c r="N45" s="352">
        <v>0.122</v>
      </c>
      <c r="O45" s="357">
        <v>0.44</v>
      </c>
      <c r="P45" s="357">
        <v>1.28</v>
      </c>
      <c r="Q45" s="475">
        <v>8.0000000000000002E-3</v>
      </c>
      <c r="R45" s="476">
        <v>5.7000000000000002E-3</v>
      </c>
      <c r="S45" s="357">
        <v>0.45</v>
      </c>
      <c r="T45" s="357">
        <v>1.79</v>
      </c>
      <c r="U45" s="357">
        <v>0.67</v>
      </c>
      <c r="V45" s="1">
        <v>3.0000000000000001E-3</v>
      </c>
      <c r="W45" s="1">
        <v>0.01</v>
      </c>
      <c r="X45" s="357">
        <v>1.4E-2</v>
      </c>
      <c r="Y45" s="357">
        <v>7.0000000000000001E-3</v>
      </c>
      <c r="Z45" s="357">
        <v>0.02</v>
      </c>
      <c r="AA45" s="475">
        <v>2.1000000000000001E-2</v>
      </c>
      <c r="AB45" s="1">
        <v>2E-3</v>
      </c>
      <c r="AC45" s="475">
        <v>1.4E-2</v>
      </c>
      <c r="AD45" s="1" t="s">
        <v>46</v>
      </c>
      <c r="AE45" s="1">
        <v>2E-3</v>
      </c>
      <c r="AF45" s="1">
        <v>2E-3</v>
      </c>
      <c r="AG45" s="1" t="s">
        <v>47</v>
      </c>
      <c r="AH45" s="357">
        <v>5.0000000000000001E-4</v>
      </c>
      <c r="AI45" s="15">
        <v>2E-3</v>
      </c>
      <c r="AJ45" s="1">
        <v>8.9999999999999998E-4</v>
      </c>
      <c r="AK45" s="1">
        <v>1.6999999999999999E-3</v>
      </c>
      <c r="AL45" s="357"/>
      <c r="AM45" s="377">
        <v>4.4000000000000003E-3</v>
      </c>
      <c r="AN45" s="385"/>
      <c r="AO45" s="74">
        <f t="shared" si="11"/>
        <v>0.68280000000000007</v>
      </c>
      <c r="AP45" s="13">
        <f t="shared" si="12"/>
        <v>0.30256666666666671</v>
      </c>
      <c r="AQ45" s="81">
        <f t="shared" si="13"/>
        <v>0.54052906481183938</v>
      </c>
      <c r="AR45" s="85">
        <f t="shared" si="14"/>
        <v>0.38525000000000004</v>
      </c>
      <c r="AT45" s="210"/>
      <c r="AV45">
        <v>6.8571410000000004</v>
      </c>
      <c r="AY45">
        <v>10.714282000000001</v>
      </c>
      <c r="AZ45">
        <v>9.0714259999999989</v>
      </c>
      <c r="BA45" s="46"/>
    </row>
    <row r="46" spans="2:53" ht="15.75" thickBot="1" x14ac:dyDescent="0.3">
      <c r="B46" s="41">
        <v>8</v>
      </c>
      <c r="C46" s="1" t="s">
        <v>54</v>
      </c>
      <c r="D46" s="49">
        <v>4711</v>
      </c>
      <c r="E46" s="10" t="s">
        <v>42</v>
      </c>
      <c r="F46" s="1" t="s">
        <v>53</v>
      </c>
      <c r="G46" s="1" t="s">
        <v>83</v>
      </c>
      <c r="H46" s="8" t="s">
        <v>43</v>
      </c>
      <c r="I46" s="1">
        <v>3</v>
      </c>
      <c r="K46" s="1">
        <v>14</v>
      </c>
      <c r="L46" s="1">
        <v>14</v>
      </c>
      <c r="M46" s="21"/>
      <c r="N46" s="352">
        <v>0.13400000000000001</v>
      </c>
      <c r="O46" s="357">
        <v>0.44</v>
      </c>
      <c r="P46" s="357">
        <v>1.25</v>
      </c>
      <c r="Q46" s="475">
        <v>8.0000000000000002E-3</v>
      </c>
      <c r="R46" s="476">
        <v>5.5999999999999999E-3</v>
      </c>
      <c r="S46" s="357">
        <v>0.38</v>
      </c>
      <c r="T46" s="357">
        <v>1.62</v>
      </c>
      <c r="U46" s="357">
        <v>0.66</v>
      </c>
      <c r="V46" s="1">
        <v>4.0000000000000001E-3</v>
      </c>
      <c r="W46" s="1">
        <v>1.0999999999999999E-2</v>
      </c>
      <c r="X46" s="357">
        <v>1.6E-2</v>
      </c>
      <c r="Y46" s="357">
        <v>8.0000000000000002E-3</v>
      </c>
      <c r="Z46" s="357">
        <v>1.9E-2</v>
      </c>
      <c r="AA46" s="475">
        <v>2.7E-2</v>
      </c>
      <c r="AB46" s="1">
        <v>1E-3</v>
      </c>
      <c r="AC46" s="475">
        <v>1.2999999999999999E-2</v>
      </c>
      <c r="AD46" s="1" t="s">
        <v>46</v>
      </c>
      <c r="AE46" s="1">
        <v>1.9E-3</v>
      </c>
      <c r="AF46" s="1">
        <v>1E-3</v>
      </c>
      <c r="AG46" s="1" t="s">
        <v>47</v>
      </c>
      <c r="AH46" s="357">
        <v>5.9999999999999995E-4</v>
      </c>
      <c r="AI46" s="15">
        <v>3.0000000000000001E-3</v>
      </c>
      <c r="AJ46" s="1">
        <v>2.93E-2</v>
      </c>
      <c r="AK46" s="1">
        <v>8.0000000000000002E-3</v>
      </c>
      <c r="AL46" s="357"/>
      <c r="AM46" s="377">
        <v>3.8999999999999998E-3</v>
      </c>
      <c r="AN46" s="385"/>
      <c r="AO46" s="74">
        <f t="shared" si="11"/>
        <v>0.66280000000000006</v>
      </c>
      <c r="AP46" s="13">
        <f t="shared" si="12"/>
        <v>0.30671666666666664</v>
      </c>
      <c r="AQ46" s="81">
        <f t="shared" si="13"/>
        <v>0.56089591934145133</v>
      </c>
      <c r="AR46" s="85">
        <f t="shared" si="14"/>
        <v>0.38545000000000001</v>
      </c>
      <c r="AT46" s="226"/>
      <c r="AU46" s="78"/>
      <c r="AV46" s="78"/>
      <c r="AW46" s="78"/>
      <c r="AX46" s="78"/>
      <c r="AY46" s="244">
        <f>(AY45+AZ45)/2</f>
        <v>9.8928539999999998</v>
      </c>
      <c r="AZ46" s="78"/>
      <c r="BA46" s="201"/>
    </row>
    <row r="47" spans="2:53" ht="6.75" customHeight="1" x14ac:dyDescent="0.25">
      <c r="B47" s="41"/>
      <c r="E47" s="42"/>
      <c r="H47" s="8"/>
      <c r="M47" s="21"/>
      <c r="N47" s="354"/>
      <c r="O47" s="365"/>
      <c r="P47" s="365"/>
      <c r="Q47" s="475"/>
      <c r="R47" s="475"/>
      <c r="S47" s="357"/>
      <c r="T47" s="369"/>
      <c r="U47" s="357"/>
      <c r="V47" s="1"/>
      <c r="W47" s="1"/>
      <c r="X47" s="357"/>
      <c r="Y47" s="357"/>
      <c r="Z47" s="357"/>
      <c r="AA47" s="475"/>
      <c r="AB47" s="15"/>
      <c r="AC47" s="476"/>
      <c r="AD47" s="1"/>
      <c r="AE47" s="1"/>
      <c r="AF47" s="1"/>
      <c r="AG47" s="1"/>
      <c r="AH47" s="357"/>
      <c r="AI47" s="43"/>
      <c r="AJ47" s="1"/>
      <c r="AK47" s="1"/>
      <c r="AL47" s="376"/>
      <c r="AM47" s="377"/>
      <c r="AN47" s="21"/>
      <c r="AO47" s="74"/>
      <c r="AP47" s="13"/>
      <c r="AQ47" s="81"/>
      <c r="AR47" s="85"/>
    </row>
    <row r="48" spans="2:53" x14ac:dyDescent="0.25">
      <c r="B48" s="41">
        <v>1</v>
      </c>
      <c r="C48" s="1" t="s">
        <v>54</v>
      </c>
      <c r="D48" s="49">
        <v>4706</v>
      </c>
      <c r="E48" s="10" t="s">
        <v>41</v>
      </c>
      <c r="F48" s="1" t="s">
        <v>51</v>
      </c>
      <c r="G48" s="1" t="s">
        <v>83</v>
      </c>
      <c r="H48" s="8" t="s">
        <v>43</v>
      </c>
      <c r="I48" s="1">
        <v>3</v>
      </c>
      <c r="K48" s="1">
        <v>10</v>
      </c>
      <c r="L48" s="1">
        <v>10</v>
      </c>
      <c r="M48" s="21"/>
      <c r="N48" s="356">
        <v>0.12</v>
      </c>
      <c r="O48" s="357">
        <v>0.42</v>
      </c>
      <c r="P48" s="357">
        <v>1.23</v>
      </c>
      <c r="Q48" s="475">
        <v>0.01</v>
      </c>
      <c r="R48" s="476">
        <v>7.0000000000000001E-3</v>
      </c>
      <c r="S48" s="357">
        <v>0.44</v>
      </c>
      <c r="T48" s="357">
        <v>1.66</v>
      </c>
      <c r="U48" s="357">
        <v>0.49</v>
      </c>
      <c r="V48" s="1">
        <v>2E-3</v>
      </c>
      <c r="W48" s="1">
        <v>0.01</v>
      </c>
      <c r="X48" s="357">
        <v>5.0000000000000001E-3</v>
      </c>
      <c r="Y48" s="357">
        <v>3.0000000000000001E-3</v>
      </c>
      <c r="Z48" s="357">
        <v>1.6E-2</v>
      </c>
      <c r="AA48" s="475">
        <v>1.6E-2</v>
      </c>
      <c r="AB48" s="1">
        <v>2E-3</v>
      </c>
      <c r="AC48" s="475">
        <v>8.0000000000000002E-3</v>
      </c>
      <c r="AD48" s="1" t="s">
        <v>46</v>
      </c>
      <c r="AE48" s="1">
        <v>1.9E-3</v>
      </c>
      <c r="AF48" s="1">
        <v>2E-3</v>
      </c>
      <c r="AG48" s="1" t="s">
        <v>47</v>
      </c>
      <c r="AH48" s="357">
        <v>6.9999999999999999E-4</v>
      </c>
      <c r="AI48" s="1">
        <v>3.0000000000000001E-3</v>
      </c>
      <c r="AJ48" s="1">
        <v>5.9999999999999995E-4</v>
      </c>
      <c r="AK48" s="1">
        <v>1.9E-3</v>
      </c>
      <c r="AL48" s="357">
        <v>2.5999999999999999E-2</v>
      </c>
      <c r="AM48" s="379">
        <v>5.0000000000000001E-3</v>
      </c>
      <c r="AN48" s="385" t="s">
        <v>159</v>
      </c>
      <c r="AO48" s="74">
        <f t="shared" ref="AO48:AO53" si="15">N48+P48/6+Z48/15+T48/15+S48/5+U48/5+X48/5</f>
        <v>0.62373333333333325</v>
      </c>
      <c r="AP48" s="13">
        <f t="shared" ref="AP48:AP53" si="16">N48+O48/30+P48/20+Z48/20+T48/60+S48/20+U48/15+X48/10+5*AH48</f>
        <v>0.28263333333333335</v>
      </c>
      <c r="AQ48" s="81">
        <f t="shared" ref="AQ48:AQ53" si="17">N48+(0.75+0.25*TANH(20*(N48-0.12)))*(O48/24+P48/6+Z48/15+T48/20+S48/5+U48/5+Y48/5+X48/5)</f>
        <v>0.49062499999999992</v>
      </c>
      <c r="AR48" s="85">
        <f t="shared" ref="AR48:AR53" si="18">N48+P48/10+U48/10+S48/20+Z48/20+T48/40</f>
        <v>0.35630000000000001</v>
      </c>
    </row>
    <row r="49" spans="2:44" x14ac:dyDescent="0.25">
      <c r="B49" s="41">
        <v>2</v>
      </c>
      <c r="C49" s="1" t="s">
        <v>54</v>
      </c>
      <c r="D49" s="49">
        <v>4707</v>
      </c>
      <c r="E49" s="10" t="s">
        <v>41</v>
      </c>
      <c r="F49" s="1" t="s">
        <v>51</v>
      </c>
      <c r="G49" s="1" t="s">
        <v>83</v>
      </c>
      <c r="H49" s="8" t="s">
        <v>43</v>
      </c>
      <c r="I49" s="1">
        <v>3</v>
      </c>
      <c r="K49" s="1">
        <v>14</v>
      </c>
      <c r="L49" s="1">
        <v>14</v>
      </c>
      <c r="M49" s="21"/>
      <c r="N49" s="356">
        <v>0.11</v>
      </c>
      <c r="O49" s="357">
        <v>0.44</v>
      </c>
      <c r="P49" s="357">
        <v>1.26</v>
      </c>
      <c r="Q49" s="475">
        <v>0.01</v>
      </c>
      <c r="R49" s="476">
        <v>8.9999999999999993E-3</v>
      </c>
      <c r="S49" s="357">
        <v>0.48</v>
      </c>
      <c r="T49" s="357">
        <v>2.0299999999999998</v>
      </c>
      <c r="U49" s="357">
        <v>0.55000000000000004</v>
      </c>
      <c r="V49" s="1">
        <v>3.0000000000000001E-3</v>
      </c>
      <c r="W49" s="1">
        <v>8.9999999999999993E-3</v>
      </c>
      <c r="X49" s="357">
        <v>4.0000000000000001E-3</v>
      </c>
      <c r="Y49" s="357">
        <v>3.0000000000000001E-3</v>
      </c>
      <c r="Z49" s="357">
        <v>1.7999999999999999E-2</v>
      </c>
      <c r="AA49" s="475">
        <v>1.0999999999999999E-2</v>
      </c>
      <c r="AB49" s="1">
        <v>2E-3</v>
      </c>
      <c r="AC49" s="475">
        <v>7.0000000000000001E-3</v>
      </c>
      <c r="AD49" s="1" t="s">
        <v>46</v>
      </c>
      <c r="AE49" s="1">
        <v>2E-3</v>
      </c>
      <c r="AF49" s="1">
        <v>2E-3</v>
      </c>
      <c r="AG49" s="1" t="s">
        <v>47</v>
      </c>
      <c r="AH49" s="357">
        <v>5.9999999999999995E-4</v>
      </c>
      <c r="AI49" s="1">
        <v>3.0000000000000001E-3</v>
      </c>
      <c r="AJ49" s="1">
        <v>5.0000000000000001E-4</v>
      </c>
      <c r="AK49" s="1">
        <v>1.4E-3</v>
      </c>
      <c r="AL49" s="357">
        <v>2.1999999999999999E-2</v>
      </c>
      <c r="AM49" s="379">
        <v>8.9999999999999993E-3</v>
      </c>
      <c r="AN49" s="385"/>
      <c r="AO49" s="74">
        <f t="shared" si="15"/>
        <v>0.66333333333333333</v>
      </c>
      <c r="AP49" s="13">
        <f t="shared" si="16"/>
        <v>0.28646666666666665</v>
      </c>
      <c r="AQ49" s="81">
        <f t="shared" si="17"/>
        <v>0.48725663710339279</v>
      </c>
      <c r="AR49" s="85">
        <f t="shared" si="18"/>
        <v>0.36665000000000003</v>
      </c>
    </row>
    <row r="50" spans="2:44" x14ac:dyDescent="0.25">
      <c r="B50" s="41">
        <v>3</v>
      </c>
      <c r="C50" s="1" t="s">
        <v>54</v>
      </c>
      <c r="D50" s="49">
        <v>4708</v>
      </c>
      <c r="E50" s="10" t="s">
        <v>41</v>
      </c>
      <c r="F50" s="1" t="s">
        <v>52</v>
      </c>
      <c r="G50" s="1" t="s">
        <v>83</v>
      </c>
      <c r="H50" s="8" t="s">
        <v>43</v>
      </c>
      <c r="I50" s="1">
        <v>3</v>
      </c>
      <c r="K50" s="1">
        <v>10</v>
      </c>
      <c r="L50" s="1">
        <v>10</v>
      </c>
      <c r="M50" s="21"/>
      <c r="N50" s="356">
        <v>0.11</v>
      </c>
      <c r="O50" s="357">
        <v>0.52</v>
      </c>
      <c r="P50" s="357">
        <v>1.53</v>
      </c>
      <c r="Q50" s="475">
        <v>1.0999999999999999E-2</v>
      </c>
      <c r="R50" s="476">
        <v>5.0000000000000001E-3</v>
      </c>
      <c r="S50" s="357">
        <v>0.3</v>
      </c>
      <c r="T50" s="357">
        <v>1.36</v>
      </c>
      <c r="U50" s="357">
        <v>0.36</v>
      </c>
      <c r="V50" s="1">
        <v>5.0000000000000001E-3</v>
      </c>
      <c r="W50" s="1">
        <v>8.0000000000000002E-3</v>
      </c>
      <c r="X50" s="357">
        <v>5.0000000000000001E-3</v>
      </c>
      <c r="Y50" s="357">
        <v>3.0000000000000001E-3</v>
      </c>
      <c r="Z50" s="357">
        <v>2.4E-2</v>
      </c>
      <c r="AA50" s="475">
        <v>1.2E-2</v>
      </c>
      <c r="AB50" s="1">
        <v>2E-3</v>
      </c>
      <c r="AC50" s="475">
        <v>3.3E-3</v>
      </c>
      <c r="AD50" s="1" t="s">
        <v>46</v>
      </c>
      <c r="AE50" s="1">
        <v>1.6999999999999999E-3</v>
      </c>
      <c r="AF50" s="1">
        <v>2E-3</v>
      </c>
      <c r="AG50" s="1" t="s">
        <v>47</v>
      </c>
      <c r="AH50" s="357">
        <v>1E-3</v>
      </c>
      <c r="AI50" s="1">
        <v>2E-3</v>
      </c>
      <c r="AJ50" s="1">
        <v>2.9999999999999997E-4</v>
      </c>
      <c r="AK50" s="1">
        <v>5.0000000000000001E-4</v>
      </c>
      <c r="AL50" s="357">
        <v>2.7E-2</v>
      </c>
      <c r="AM50" s="379">
        <v>7.0000000000000001E-3</v>
      </c>
      <c r="AN50" s="385"/>
      <c r="AO50" s="74">
        <f t="shared" si="15"/>
        <v>0.59026666666666661</v>
      </c>
      <c r="AP50" s="13">
        <f t="shared" si="16"/>
        <v>0.2722</v>
      </c>
      <c r="AQ50" s="81">
        <f t="shared" si="17"/>
        <v>0.44622154075035231</v>
      </c>
      <c r="AR50" s="85">
        <f t="shared" si="18"/>
        <v>0.34919999999999995</v>
      </c>
    </row>
    <row r="51" spans="2:44" x14ac:dyDescent="0.25">
      <c r="B51" s="41">
        <v>4</v>
      </c>
      <c r="C51" s="1" t="s">
        <v>54</v>
      </c>
      <c r="D51" s="49">
        <v>4709</v>
      </c>
      <c r="E51" s="10" t="s">
        <v>41</v>
      </c>
      <c r="F51" s="1" t="s">
        <v>52</v>
      </c>
      <c r="G51" s="1" t="s">
        <v>83</v>
      </c>
      <c r="H51" s="8" t="s">
        <v>43</v>
      </c>
      <c r="I51" s="1">
        <v>3</v>
      </c>
      <c r="K51" s="1">
        <v>14</v>
      </c>
      <c r="L51" s="1">
        <v>14</v>
      </c>
      <c r="M51" s="21"/>
      <c r="N51" s="352">
        <v>0.1</v>
      </c>
      <c r="O51" s="357">
        <v>0.49</v>
      </c>
      <c r="P51" s="357">
        <v>1.48</v>
      </c>
      <c r="Q51" s="475">
        <v>1.0999999999999999E-2</v>
      </c>
      <c r="R51" s="476">
        <v>6.0000000000000001E-3</v>
      </c>
      <c r="S51" s="357">
        <v>0.3</v>
      </c>
      <c r="T51" s="357">
        <v>1.32</v>
      </c>
      <c r="U51" s="357">
        <v>0.35</v>
      </c>
      <c r="V51" s="1">
        <v>4.0000000000000001E-3</v>
      </c>
      <c r="W51" s="1">
        <v>8.0000000000000002E-3</v>
      </c>
      <c r="X51" s="357">
        <v>5.0000000000000001E-3</v>
      </c>
      <c r="Y51" s="357">
        <v>3.0000000000000001E-3</v>
      </c>
      <c r="Z51" s="357">
        <v>2.4E-2</v>
      </c>
      <c r="AA51" s="475">
        <v>1.2E-2</v>
      </c>
      <c r="AB51" s="1">
        <v>2E-3</v>
      </c>
      <c r="AC51" s="475">
        <v>3.2000000000000002E-3</v>
      </c>
      <c r="AD51" s="1" t="s">
        <v>46</v>
      </c>
      <c r="AE51" s="1">
        <v>1.6000000000000001E-3</v>
      </c>
      <c r="AF51" s="1">
        <v>2E-3</v>
      </c>
      <c r="AG51" s="1" t="s">
        <v>47</v>
      </c>
      <c r="AH51" s="357">
        <v>1.1999999999999999E-3</v>
      </c>
      <c r="AI51" s="1">
        <v>2E-3</v>
      </c>
      <c r="AJ51" s="1">
        <v>2.0000000000000001E-4</v>
      </c>
      <c r="AK51" s="1">
        <v>5.0000000000000001E-4</v>
      </c>
      <c r="AL51" s="357">
        <v>3.2000000000000001E-2</v>
      </c>
      <c r="AM51" s="379">
        <v>8.9999999999999993E-3</v>
      </c>
      <c r="AN51" s="385"/>
      <c r="AO51" s="74">
        <f t="shared" si="15"/>
        <v>0.5672666666666667</v>
      </c>
      <c r="AP51" s="13">
        <f t="shared" si="16"/>
        <v>0.25836666666666669</v>
      </c>
      <c r="AQ51" s="81">
        <f t="shared" si="17"/>
        <v>0.40542153284577331</v>
      </c>
      <c r="AR51" s="85">
        <f t="shared" si="18"/>
        <v>0.33219999999999994</v>
      </c>
    </row>
    <row r="52" spans="2:44" x14ac:dyDescent="0.25">
      <c r="B52" s="41">
        <v>7</v>
      </c>
      <c r="C52" s="1" t="s">
        <v>54</v>
      </c>
      <c r="D52" s="49">
        <v>4710</v>
      </c>
      <c r="E52" s="10" t="s">
        <v>42</v>
      </c>
      <c r="F52" s="1" t="s">
        <v>53</v>
      </c>
      <c r="G52" s="1" t="s">
        <v>83</v>
      </c>
      <c r="H52" s="8" t="s">
        <v>43</v>
      </c>
      <c r="I52" s="1">
        <v>3</v>
      </c>
      <c r="K52" s="1">
        <v>10</v>
      </c>
      <c r="L52" s="1">
        <v>10</v>
      </c>
      <c r="M52" s="21"/>
      <c r="N52" s="356">
        <v>0.13</v>
      </c>
      <c r="O52" s="357">
        <v>0.43</v>
      </c>
      <c r="P52" s="357">
        <v>1.26</v>
      </c>
      <c r="Q52" s="475">
        <v>8.0000000000000002E-3</v>
      </c>
      <c r="R52" s="476">
        <v>5.0000000000000001E-3</v>
      </c>
      <c r="S52" s="357">
        <v>0.42</v>
      </c>
      <c r="T52" s="357">
        <v>1.82</v>
      </c>
      <c r="U52" s="357">
        <v>0.67</v>
      </c>
      <c r="V52" s="1">
        <v>4.0000000000000001E-3</v>
      </c>
      <c r="W52" s="1">
        <v>0.01</v>
      </c>
      <c r="X52" s="357">
        <v>1.4E-2</v>
      </c>
      <c r="Y52" s="357">
        <v>7.0000000000000001E-3</v>
      </c>
      <c r="Z52" s="357">
        <v>0.02</v>
      </c>
      <c r="AA52" s="475">
        <v>1.9E-2</v>
      </c>
      <c r="AB52" s="1">
        <v>2E-3</v>
      </c>
      <c r="AC52" s="475">
        <v>1.2E-2</v>
      </c>
      <c r="AD52" s="1" t="s">
        <v>46</v>
      </c>
      <c r="AE52" s="1">
        <v>2E-3</v>
      </c>
      <c r="AF52" s="1">
        <v>2E-3</v>
      </c>
      <c r="AG52" s="1" t="s">
        <v>47</v>
      </c>
      <c r="AH52" s="357">
        <v>5.0000000000000001E-4</v>
      </c>
      <c r="AI52" s="1">
        <v>2E-3</v>
      </c>
      <c r="AJ52" s="1">
        <v>8.0000000000000004E-4</v>
      </c>
      <c r="AK52" s="1">
        <v>1.6999999999999999E-3</v>
      </c>
      <c r="AL52" s="357">
        <v>1.4999999999999999E-2</v>
      </c>
      <c r="AM52" s="379">
        <v>4.0000000000000001E-3</v>
      </c>
      <c r="AN52" s="385"/>
      <c r="AO52" s="74">
        <f t="shared" si="15"/>
        <v>0.68346666666666667</v>
      </c>
      <c r="AP52" s="13">
        <f t="shared" si="16"/>
        <v>0.30823333333333336</v>
      </c>
      <c r="AQ52" s="81">
        <f t="shared" si="17"/>
        <v>0.56360406061399981</v>
      </c>
      <c r="AR52" s="85">
        <f t="shared" si="18"/>
        <v>0.39050000000000001</v>
      </c>
    </row>
    <row r="53" spans="2:44" x14ac:dyDescent="0.25">
      <c r="B53" s="41">
        <v>8</v>
      </c>
      <c r="C53" s="1" t="s">
        <v>54</v>
      </c>
      <c r="D53" s="49">
        <v>4711</v>
      </c>
      <c r="E53" s="10" t="s">
        <v>42</v>
      </c>
      <c r="F53" s="1" t="s">
        <v>53</v>
      </c>
      <c r="G53" s="1" t="s">
        <v>83</v>
      </c>
      <c r="H53" s="8" t="s">
        <v>43</v>
      </c>
      <c r="I53" s="1">
        <v>3</v>
      </c>
      <c r="K53" s="1">
        <v>14</v>
      </c>
      <c r="L53" s="1">
        <v>14</v>
      </c>
      <c r="M53" s="21"/>
      <c r="N53" s="356">
        <v>0.12</v>
      </c>
      <c r="O53" s="357">
        <v>0.48</v>
      </c>
      <c r="P53" s="357">
        <v>1.28</v>
      </c>
      <c r="Q53" s="475">
        <v>8.9999999999999993E-3</v>
      </c>
      <c r="R53" s="476">
        <v>7.0000000000000001E-3</v>
      </c>
      <c r="S53" s="357">
        <v>0.5</v>
      </c>
      <c r="T53" s="357">
        <v>2.0699999999999998</v>
      </c>
      <c r="U53" s="357">
        <v>0.68</v>
      </c>
      <c r="V53" s="1">
        <v>4.0000000000000001E-3</v>
      </c>
      <c r="W53" s="1">
        <v>8.9999999999999993E-3</v>
      </c>
      <c r="X53" s="357">
        <v>0.01</v>
      </c>
      <c r="Y53" s="357">
        <v>7.0000000000000001E-3</v>
      </c>
      <c r="Z53" s="357">
        <v>2.3E-2</v>
      </c>
      <c r="AA53" s="475">
        <v>1.6E-2</v>
      </c>
      <c r="AB53" s="1">
        <v>2E-3</v>
      </c>
      <c r="AC53" s="475">
        <v>1.2999999999999999E-2</v>
      </c>
      <c r="AD53" s="1" t="s">
        <v>46</v>
      </c>
      <c r="AE53" s="1">
        <v>2E-3</v>
      </c>
      <c r="AF53" s="1">
        <v>2E-3</v>
      </c>
      <c r="AG53" s="1" t="s">
        <v>47</v>
      </c>
      <c r="AH53" s="357">
        <v>4.0000000000000002E-4</v>
      </c>
      <c r="AI53" s="1">
        <v>3.0000000000000001E-3</v>
      </c>
      <c r="AJ53" s="1">
        <v>8.0000000000000004E-4</v>
      </c>
      <c r="AK53" s="1">
        <v>1.2999999999999999E-3</v>
      </c>
      <c r="AL53" s="357">
        <v>3.5000000000000003E-2</v>
      </c>
      <c r="AM53" s="379">
        <v>1.0999999999999999E-2</v>
      </c>
      <c r="AN53" s="385"/>
      <c r="AO53" s="74">
        <f t="shared" si="15"/>
        <v>0.71086666666666665</v>
      </c>
      <c r="AP53" s="13">
        <f t="shared" si="16"/>
        <v>0.30898333333333339</v>
      </c>
      <c r="AQ53" s="81">
        <f t="shared" si="17"/>
        <v>0.55332499999999996</v>
      </c>
      <c r="AR53" s="85">
        <f t="shared" si="18"/>
        <v>0.39390000000000003</v>
      </c>
    </row>
    <row r="54" spans="2:44" ht="6.75" customHeight="1" x14ac:dyDescent="0.25">
      <c r="B54" s="41"/>
      <c r="E54" s="42"/>
      <c r="H54" s="8"/>
      <c r="M54" s="21"/>
      <c r="N54" s="354"/>
      <c r="O54" s="365"/>
      <c r="P54" s="365"/>
      <c r="Q54" s="475"/>
      <c r="R54" s="475"/>
      <c r="S54" s="357"/>
      <c r="T54" s="369"/>
      <c r="U54" s="357"/>
      <c r="V54" s="1"/>
      <c r="W54" s="1"/>
      <c r="X54" s="357"/>
      <c r="Y54" s="357"/>
      <c r="Z54" s="357"/>
      <c r="AA54" s="475"/>
      <c r="AB54" s="15"/>
      <c r="AC54" s="476"/>
      <c r="AD54" s="1"/>
      <c r="AE54" s="1"/>
      <c r="AF54" s="1"/>
      <c r="AG54" s="1"/>
      <c r="AH54" s="357"/>
      <c r="AI54" s="43"/>
      <c r="AJ54" s="1"/>
      <c r="AK54" s="1"/>
      <c r="AL54" s="376"/>
      <c r="AM54" s="377"/>
      <c r="AN54" s="21"/>
      <c r="AO54" s="74"/>
      <c r="AP54" s="13"/>
      <c r="AQ54" s="81"/>
      <c r="AR54" s="85"/>
    </row>
    <row r="55" spans="2:44" x14ac:dyDescent="0.25">
      <c r="B55" s="41">
        <v>1</v>
      </c>
      <c r="C55" s="1" t="s">
        <v>54</v>
      </c>
      <c r="E55" s="10" t="s">
        <v>41</v>
      </c>
      <c r="F55" s="1" t="s">
        <v>51</v>
      </c>
      <c r="G55" s="1" t="s">
        <v>83</v>
      </c>
      <c r="H55" s="8" t="s">
        <v>43</v>
      </c>
      <c r="I55" s="1">
        <v>7</v>
      </c>
      <c r="K55" s="1">
        <v>8</v>
      </c>
      <c r="L55" s="1">
        <v>8</v>
      </c>
      <c r="M55" s="21"/>
      <c r="N55" s="356">
        <v>0.11</v>
      </c>
      <c r="O55" s="357">
        <v>0.54</v>
      </c>
      <c r="P55" s="357">
        <v>1.31</v>
      </c>
      <c r="Q55" s="475">
        <v>0.01</v>
      </c>
      <c r="R55" s="476">
        <v>8.9999999999999993E-3</v>
      </c>
      <c r="S55" s="357">
        <v>0.51</v>
      </c>
      <c r="T55" s="357">
        <v>2.41</v>
      </c>
      <c r="U55" s="357">
        <v>0.62</v>
      </c>
      <c r="V55" s="1">
        <v>4.0000000000000001E-3</v>
      </c>
      <c r="W55" s="1">
        <v>8.0000000000000002E-3</v>
      </c>
      <c r="X55" s="357">
        <v>3.0000000000000001E-3</v>
      </c>
      <c r="Y55" s="357">
        <v>5.0000000000000001E-3</v>
      </c>
      <c r="Z55" s="357">
        <v>0.02</v>
      </c>
      <c r="AA55" s="475">
        <v>8.0000000000000002E-3</v>
      </c>
      <c r="AB55" s="1">
        <v>2E-3</v>
      </c>
      <c r="AC55" s="475">
        <v>8.0000000000000002E-3</v>
      </c>
      <c r="AD55" s="1" t="s">
        <v>49</v>
      </c>
      <c r="AE55" s="1">
        <v>3.0000000000000001E-3</v>
      </c>
      <c r="AF55" s="1"/>
      <c r="AG55" s="1" t="s">
        <v>50</v>
      </c>
      <c r="AH55" s="357">
        <v>4.0000000000000002E-4</v>
      </c>
      <c r="AI55" s="1">
        <v>4.0000000000000001E-3</v>
      </c>
      <c r="AJ55" s="1">
        <v>6.9999999999999999E-4</v>
      </c>
      <c r="AK55" s="1">
        <v>1.5E-3</v>
      </c>
      <c r="AL55" s="357">
        <v>0.02</v>
      </c>
      <c r="AM55" s="379">
        <v>2E-3</v>
      </c>
      <c r="AN55" s="21"/>
      <c r="AO55" s="74">
        <f>N55+P55/6+Z55/15+T55/15+S55/5+U55/5+X55/5</f>
        <v>0.71693333333333342</v>
      </c>
      <c r="AP55" s="13">
        <f>N55+O55/30+P55/20+Z55/20+T55/60+S55/20+U55/15+X55/10+5*AH55</f>
        <v>0.30380000000000007</v>
      </c>
      <c r="AQ55" s="81">
        <f>N55+(0.75+0.25*TANH(20*(N55-0.12)))*(O55/24+P55/6+Z55/15+T55/20+S55/5+U55/5+Y55/5+X55/5)</f>
        <v>0.5235739819121451</v>
      </c>
      <c r="AR55" s="85">
        <f>N55+P55/10+U55/10+S55/20+Z55/20+T55/40</f>
        <v>0.38975000000000004</v>
      </c>
    </row>
    <row r="56" spans="2:44" x14ac:dyDescent="0.25">
      <c r="B56" s="41">
        <v>2</v>
      </c>
      <c r="C56" s="1" t="s">
        <v>54</v>
      </c>
      <c r="E56" s="10" t="s">
        <v>41</v>
      </c>
      <c r="F56" s="1" t="s">
        <v>51</v>
      </c>
      <c r="G56" s="1" t="s">
        <v>83</v>
      </c>
      <c r="H56" s="8" t="s">
        <v>43</v>
      </c>
      <c r="I56" s="1">
        <v>5</v>
      </c>
      <c r="K56" s="1">
        <v>13</v>
      </c>
      <c r="L56" s="1">
        <v>13</v>
      </c>
      <c r="M56" s="21"/>
      <c r="N56" s="356">
        <v>0.1</v>
      </c>
      <c r="O56" s="357">
        <v>0.49</v>
      </c>
      <c r="P56" s="357">
        <v>1.23</v>
      </c>
      <c r="Q56" s="475">
        <v>0.01</v>
      </c>
      <c r="R56" s="476">
        <v>0.01</v>
      </c>
      <c r="S56" s="357">
        <v>0.49</v>
      </c>
      <c r="T56" s="357">
        <v>2.58</v>
      </c>
      <c r="U56" s="357">
        <v>0.64</v>
      </c>
      <c r="V56" s="1">
        <v>5.0000000000000001E-3</v>
      </c>
      <c r="W56" s="1">
        <v>8.0000000000000002E-3</v>
      </c>
      <c r="X56" s="357">
        <v>2E-3</v>
      </c>
      <c r="Y56" s="357">
        <v>4.0000000000000001E-3</v>
      </c>
      <c r="Z56" s="357">
        <v>0.02</v>
      </c>
      <c r="AA56" s="475">
        <v>7.0000000000000001E-3</v>
      </c>
      <c r="AB56" s="1">
        <v>2E-3</v>
      </c>
      <c r="AC56" s="475">
        <v>8.0000000000000002E-3</v>
      </c>
      <c r="AD56" s="1" t="s">
        <v>49</v>
      </c>
      <c r="AE56" s="1">
        <v>3.0000000000000001E-3</v>
      </c>
      <c r="AF56" s="1"/>
      <c r="AG56" s="1" t="s">
        <v>50</v>
      </c>
      <c r="AH56" s="357">
        <v>4.0000000000000002E-4</v>
      </c>
      <c r="AI56" s="1">
        <v>3.0000000000000001E-3</v>
      </c>
      <c r="AJ56" s="1">
        <v>6.9999999999999999E-4</v>
      </c>
      <c r="AK56" s="1">
        <v>1.6000000000000001E-3</v>
      </c>
      <c r="AL56" s="357">
        <v>2.3E-2</v>
      </c>
      <c r="AM56" s="379">
        <v>2E-3</v>
      </c>
      <c r="AN56" s="21"/>
      <c r="AO56" s="74">
        <f>N56+P56/6+Z56/15+T56/15+S56/5+U56/5+X56/5</f>
        <v>0.70473333333333332</v>
      </c>
      <c r="AP56" s="13">
        <f>N56+O56/30+P56/20+Z56/20+T56/60+S56/20+U56/15+X56/10+5*AH56</f>
        <v>0.29120000000000001</v>
      </c>
      <c r="AQ56" s="81">
        <f>N56+(0.75+0.25*TANH(20*(N56-0.12)))*(O56/24+P56/6+Z56/15+T56/20+S56/5+U56/5+Y56/5+X56/5)</f>
        <v>0.48183968811332922</v>
      </c>
      <c r="AR56" s="85">
        <f>N56+P56/10+U56/10+S56/20+Z56/20+T56/40</f>
        <v>0.37700000000000006</v>
      </c>
    </row>
    <row r="57" spans="2:44" x14ac:dyDescent="0.25">
      <c r="B57" s="41">
        <v>3</v>
      </c>
      <c r="C57" s="1" t="s">
        <v>54</v>
      </c>
      <c r="E57" s="10" t="s">
        <v>41</v>
      </c>
      <c r="F57" s="1" t="s">
        <v>52</v>
      </c>
      <c r="G57" s="1" t="s">
        <v>83</v>
      </c>
      <c r="H57" s="8" t="s">
        <v>43</v>
      </c>
      <c r="I57" s="1">
        <v>7</v>
      </c>
      <c r="K57" s="1">
        <v>6</v>
      </c>
      <c r="L57" s="1">
        <v>6</v>
      </c>
      <c r="M57" s="21"/>
      <c r="N57" s="356">
        <v>0.1</v>
      </c>
      <c r="O57" s="357">
        <v>0.52</v>
      </c>
      <c r="P57" s="357">
        <v>1.45</v>
      </c>
      <c r="Q57" s="475">
        <v>1.0999999999999999E-2</v>
      </c>
      <c r="R57" s="476">
        <v>7.0000000000000001E-3</v>
      </c>
      <c r="S57" s="357">
        <v>0.28999999999999998</v>
      </c>
      <c r="T57" s="357">
        <v>1.46</v>
      </c>
      <c r="U57" s="357">
        <v>0.37</v>
      </c>
      <c r="V57" s="1">
        <v>6.0000000000000001E-3</v>
      </c>
      <c r="W57" s="1">
        <v>8.0000000000000002E-3</v>
      </c>
      <c r="X57" s="357">
        <v>4.0000000000000001E-3</v>
      </c>
      <c r="Y57" s="357">
        <v>3.0000000000000001E-3</v>
      </c>
      <c r="Z57" s="357">
        <v>0.02</v>
      </c>
      <c r="AA57" s="475">
        <v>8.9999999999999993E-3</v>
      </c>
      <c r="AB57" s="1">
        <v>2E-3</v>
      </c>
      <c r="AC57" s="475">
        <v>3.0000000000000001E-3</v>
      </c>
      <c r="AD57" s="1" t="s">
        <v>49</v>
      </c>
      <c r="AE57" s="1">
        <v>2E-3</v>
      </c>
      <c r="AF57" s="1"/>
      <c r="AG57" s="1" t="s">
        <v>50</v>
      </c>
      <c r="AH57" s="357">
        <v>1.1000000000000001E-3</v>
      </c>
      <c r="AI57" s="1">
        <v>2E-3</v>
      </c>
      <c r="AJ57" s="1">
        <v>2.0000000000000001E-4</v>
      </c>
      <c r="AK57" s="1">
        <v>5.0000000000000001E-4</v>
      </c>
      <c r="AL57" s="357">
        <v>0.02</v>
      </c>
      <c r="AM57" s="379">
        <v>6.0000000000000001E-3</v>
      </c>
      <c r="AN57" s="21"/>
      <c r="AO57" s="74">
        <f>N57+P57/6+Z57/15+T57/15+S57/5+U57/5+X57/5</f>
        <v>0.57313333333333338</v>
      </c>
      <c r="AP57" s="13">
        <f>N57+O57/30+P57/20+Z57/20+T57/60+S57/20+U57/15+X57/10+5*AH57</f>
        <v>0.26023333333333337</v>
      </c>
      <c r="AQ57" s="81">
        <f>N57+(0.75+0.25*TANH(20*(N57-0.12)))*(O57/24+P57/6+Z57/15+T57/20+S57/5+U57/5+Y57/5+X57/5)</f>
        <v>0.4085546772117431</v>
      </c>
      <c r="AR57" s="85">
        <f>N57+P57/10+U57/10+S57/20+Z57/20+T57/40</f>
        <v>0.33399999999999996</v>
      </c>
    </row>
    <row r="58" spans="2:44" x14ac:dyDescent="0.25">
      <c r="B58" s="41">
        <v>4</v>
      </c>
      <c r="C58" s="1" t="s">
        <v>54</v>
      </c>
      <c r="E58" s="10" t="s">
        <v>41</v>
      </c>
      <c r="F58" s="1" t="s">
        <v>52</v>
      </c>
      <c r="G58" s="1" t="s">
        <v>83</v>
      </c>
      <c r="H58" s="8" t="s">
        <v>43</v>
      </c>
      <c r="I58" s="1">
        <v>5</v>
      </c>
      <c r="K58" s="1">
        <v>12</v>
      </c>
      <c r="L58" s="1">
        <v>12</v>
      </c>
      <c r="M58" s="21"/>
      <c r="N58" s="356">
        <v>0.1</v>
      </c>
      <c r="O58" s="357">
        <v>0.54</v>
      </c>
      <c r="P58" s="357">
        <v>1.54</v>
      </c>
      <c r="Q58" s="475">
        <v>0.01</v>
      </c>
      <c r="R58" s="476">
        <v>7.0000000000000001E-3</v>
      </c>
      <c r="S58" s="357">
        <v>0.28999999999999998</v>
      </c>
      <c r="T58" s="357">
        <v>1.57</v>
      </c>
      <c r="U58" s="357">
        <v>0.38</v>
      </c>
      <c r="V58" s="1">
        <v>6.0000000000000001E-3</v>
      </c>
      <c r="W58" s="1">
        <v>7.0000000000000001E-3</v>
      </c>
      <c r="X58" s="357">
        <v>4.0000000000000001E-3</v>
      </c>
      <c r="Y58" s="357">
        <v>4.0000000000000001E-3</v>
      </c>
      <c r="Z58" s="357">
        <v>0.03</v>
      </c>
      <c r="AA58" s="475">
        <v>7.0000000000000001E-3</v>
      </c>
      <c r="AB58" s="1">
        <v>2E-3</v>
      </c>
      <c r="AC58" s="475">
        <v>3.0000000000000001E-3</v>
      </c>
      <c r="AD58" s="1" t="s">
        <v>49</v>
      </c>
      <c r="AE58" s="1">
        <v>2E-3</v>
      </c>
      <c r="AF58" s="1"/>
      <c r="AG58" s="1" t="s">
        <v>50</v>
      </c>
      <c r="AH58" s="357">
        <v>8.9999999999999998E-4</v>
      </c>
      <c r="AI58" s="1">
        <v>3.0000000000000001E-3</v>
      </c>
      <c r="AJ58" s="1">
        <v>2.0000000000000001E-4</v>
      </c>
      <c r="AK58" s="1">
        <v>5.0000000000000001E-4</v>
      </c>
      <c r="AL58" s="357">
        <v>2.8000000000000001E-2</v>
      </c>
      <c r="AM58" s="379">
        <v>5.0000000000000001E-3</v>
      </c>
      <c r="AN58" s="21"/>
      <c r="AO58" s="74">
        <f>N58+P58/6+Z58/15+T58/15+S58/5+U58/5+X58/5</f>
        <v>0.59813333333333341</v>
      </c>
      <c r="AP58" s="13">
        <f>N58+O58/30+P58/20+Z58/20+T58/60+S58/20+U58/15+X58/10+5*AH58</f>
        <v>0.26740000000000003</v>
      </c>
      <c r="AQ58" s="81">
        <f>N58+(0.75+0.25*TANH(20*(N58-0.12)))*(O58/24+P58/6+Z58/15+T58/20+S58/5+U58/5+Y58/5+X58/5)</f>
        <v>0.42440598599009904</v>
      </c>
      <c r="AR58" s="85">
        <f>N58+P58/10+U58/10+S58/20+Z58/20+T58/40</f>
        <v>0.34725</v>
      </c>
    </row>
    <row r="59" spans="2:44" x14ac:dyDescent="0.25">
      <c r="B59" s="41">
        <v>5</v>
      </c>
      <c r="C59" s="1" t="s">
        <v>54</v>
      </c>
      <c r="E59" s="10" t="s">
        <v>42</v>
      </c>
      <c r="F59" s="1" t="s">
        <v>57</v>
      </c>
      <c r="G59" s="1" t="s">
        <v>83</v>
      </c>
      <c r="H59" s="8" t="s">
        <v>43</v>
      </c>
      <c r="I59" s="1">
        <v>7</v>
      </c>
      <c r="K59" s="1">
        <v>7</v>
      </c>
      <c r="L59" s="1">
        <v>7</v>
      </c>
      <c r="M59" s="21"/>
      <c r="N59" s="356">
        <v>9.2999999999999999E-2</v>
      </c>
      <c r="O59" s="357">
        <v>0.68</v>
      </c>
      <c r="P59" s="357">
        <v>1.57</v>
      </c>
      <c r="Q59" s="475">
        <v>4.0000000000000001E-3</v>
      </c>
      <c r="R59" s="476">
        <v>3.0000000000000001E-3</v>
      </c>
      <c r="S59" s="357">
        <v>0.38</v>
      </c>
      <c r="T59" s="357">
        <v>2</v>
      </c>
      <c r="U59" s="357">
        <v>0.55000000000000004</v>
      </c>
      <c r="V59" s="1">
        <v>7.0000000000000001E-3</v>
      </c>
      <c r="W59" s="1">
        <v>8.9999999999999993E-3</v>
      </c>
      <c r="X59" s="357">
        <v>0.01</v>
      </c>
      <c r="Y59" s="357">
        <v>6.0000000000000001E-3</v>
      </c>
      <c r="Z59" s="357">
        <v>0.03</v>
      </c>
      <c r="AA59" s="475">
        <v>1.0999999999999999E-2</v>
      </c>
      <c r="AB59" s="1">
        <v>4.0000000000000001E-3</v>
      </c>
      <c r="AC59" s="475">
        <v>2.4E-2</v>
      </c>
      <c r="AD59" s="1" t="s">
        <v>49</v>
      </c>
      <c r="AE59" s="1">
        <v>3.0000000000000001E-3</v>
      </c>
      <c r="AF59" s="1"/>
      <c r="AG59" s="1" t="s">
        <v>50</v>
      </c>
      <c r="AH59" s="357">
        <v>6.9999999999999999E-4</v>
      </c>
      <c r="AI59" s="1">
        <v>4.0000000000000001E-3</v>
      </c>
      <c r="AJ59" s="1">
        <v>1E-4</v>
      </c>
      <c r="AK59" s="1">
        <v>5.0000000000000001E-4</v>
      </c>
      <c r="AL59" s="357">
        <v>2.3E-2</v>
      </c>
      <c r="AM59" s="379">
        <v>8.0000000000000002E-3</v>
      </c>
      <c r="AN59" s="21"/>
      <c r="AO59" s="74">
        <f>N59+P59/6+Z59/15+T59/15+S59/5+U59/5+X59/5</f>
        <v>0.67799999999999994</v>
      </c>
      <c r="AP59" s="13">
        <f>N59+O59/30+P59/20+Z59/20+T59/60+S59/20+U59/15+X59/10+5*AH59</f>
        <v>0.28916666666666663</v>
      </c>
      <c r="AQ59" s="81">
        <f>N59+(0.75+0.25*TANH(20*(N59-0.12)))*(O59/24+P59/6+Z59/15+T59/20+S59/5+U59/5+Y59/5+X59/5)</f>
        <v>0.45726884844207549</v>
      </c>
      <c r="AR59" s="85">
        <f>N59+P59/10+U59/10+S59/20+Z59/20+T59/40</f>
        <v>0.3755</v>
      </c>
    </row>
    <row r="60" spans="2:44" x14ac:dyDescent="0.25">
      <c r="B60" s="41">
        <v>6</v>
      </c>
      <c r="C60" s="1" t="s">
        <v>54</v>
      </c>
      <c r="E60" s="10" t="s">
        <v>42</v>
      </c>
      <c r="F60" s="1" t="s">
        <v>57</v>
      </c>
      <c r="G60" s="1" t="s">
        <v>83</v>
      </c>
      <c r="H60" s="8" t="s">
        <v>43</v>
      </c>
      <c r="I60" s="1">
        <v>5</v>
      </c>
      <c r="K60" s="1">
        <v>11</v>
      </c>
      <c r="L60" s="1">
        <v>11</v>
      </c>
      <c r="M60" s="21"/>
      <c r="N60" s="356">
        <v>9.5000000000000001E-2</v>
      </c>
      <c r="O60" s="357">
        <v>0.67</v>
      </c>
      <c r="P60" s="357">
        <v>1.59</v>
      </c>
      <c r="Q60" s="475">
        <v>4.0000000000000001E-3</v>
      </c>
      <c r="R60" s="476">
        <v>4.0000000000000001E-3</v>
      </c>
      <c r="S60" s="357">
        <v>0.38</v>
      </c>
      <c r="T60" s="357">
        <v>1.94</v>
      </c>
      <c r="U60" s="357">
        <v>0.56000000000000005</v>
      </c>
      <c r="V60" s="1">
        <v>6.0000000000000001E-3</v>
      </c>
      <c r="W60" s="1">
        <v>8.9999999999999993E-3</v>
      </c>
      <c r="X60" s="357">
        <v>1.0999999999999999E-2</v>
      </c>
      <c r="Y60" s="357">
        <v>6.0000000000000001E-3</v>
      </c>
      <c r="Z60" s="357">
        <v>2.9000000000000001E-2</v>
      </c>
      <c r="AA60" s="475">
        <v>1.2E-2</v>
      </c>
      <c r="AB60" s="1">
        <v>3.0000000000000001E-3</v>
      </c>
      <c r="AC60" s="475">
        <v>2.3E-2</v>
      </c>
      <c r="AD60" s="1" t="s">
        <v>46</v>
      </c>
      <c r="AE60" s="1">
        <v>2E-3</v>
      </c>
      <c r="AF60" s="1">
        <v>2E-3</v>
      </c>
      <c r="AG60" s="1" t="s">
        <v>47</v>
      </c>
      <c r="AH60" s="357">
        <v>6.9999999999999999E-4</v>
      </c>
      <c r="AI60" s="1">
        <v>4.0000000000000001E-3</v>
      </c>
      <c r="AJ60" s="1">
        <v>1E-4</v>
      </c>
      <c r="AK60" s="1">
        <v>5.0000000000000001E-4</v>
      </c>
      <c r="AL60" s="357">
        <v>2.4E-2</v>
      </c>
      <c r="AM60" s="379">
        <v>6.0000000000000001E-3</v>
      </c>
      <c r="AN60" s="21"/>
      <c r="AO60" s="74">
        <f t="shared" ref="AO60:AO62" si="19">N60+P60/6+Z60/15+T60/15+S60/5+U60/5+X60/5</f>
        <v>0.68146666666666655</v>
      </c>
      <c r="AP60" s="13">
        <f t="shared" ref="AP60" si="20">N60+O60/30+P60/20+Z60/20+T60/60+S60/20+U60/15+X60/10+5*AH60</f>
        <v>0.29154999999999998</v>
      </c>
      <c r="AQ60" s="81">
        <f t="shared" ref="AQ60:AQ62" si="21">N60+(0.75+0.25*TANH(20*(N60-0.12)))*(O60/24+P60/6+Z60/15+T60/20+S60/5+U60/5+Y60/5+X60/5)</f>
        <v>0.46505504200702485</v>
      </c>
      <c r="AR60" s="85">
        <f t="shared" ref="AR60:AR62" si="22">N60+P60/10+U60/10+S60/20+Z60/20+T60/40</f>
        <v>0.37895000000000001</v>
      </c>
    </row>
    <row r="61" spans="2:44" x14ac:dyDescent="0.25">
      <c r="B61" s="41">
        <v>7</v>
      </c>
      <c r="C61" s="1" t="s">
        <v>54</v>
      </c>
      <c r="E61" s="10" t="s">
        <v>42</v>
      </c>
      <c r="F61" s="1" t="s">
        <v>53</v>
      </c>
      <c r="G61" s="1" t="s">
        <v>83</v>
      </c>
      <c r="H61" s="8" t="s">
        <v>43</v>
      </c>
      <c r="I61" s="1">
        <v>7</v>
      </c>
      <c r="K61" s="1">
        <v>8</v>
      </c>
      <c r="L61" s="1">
        <v>8</v>
      </c>
      <c r="M61" s="21"/>
      <c r="N61" s="357">
        <v>0.12</v>
      </c>
      <c r="O61" s="357">
        <v>0.59</v>
      </c>
      <c r="P61" s="357">
        <v>1.35</v>
      </c>
      <c r="Q61" s="475">
        <v>0.01</v>
      </c>
      <c r="R61" s="475">
        <v>7.0000000000000001E-3</v>
      </c>
      <c r="S61" s="357">
        <v>0.54</v>
      </c>
      <c r="T61" s="357">
        <v>2.29</v>
      </c>
      <c r="U61" s="357">
        <v>0.72</v>
      </c>
      <c r="V61" s="1" t="s">
        <v>238</v>
      </c>
      <c r="W61" s="1">
        <v>1.0999999999999999E-2</v>
      </c>
      <c r="X61" s="357">
        <v>8.9999999999999993E-3</v>
      </c>
      <c r="Y61" s="357" t="s">
        <v>238</v>
      </c>
      <c r="Z61" s="357">
        <v>2.7E-2</v>
      </c>
      <c r="AA61" s="475">
        <v>1.9E-2</v>
      </c>
      <c r="AB61" s="1" t="s">
        <v>238</v>
      </c>
      <c r="AC61" s="475">
        <v>1.7000000000000001E-2</v>
      </c>
      <c r="AD61" s="1" t="s">
        <v>238</v>
      </c>
      <c r="AE61" s="1" t="s">
        <v>238</v>
      </c>
      <c r="AF61" s="1" t="s">
        <v>238</v>
      </c>
      <c r="AG61" s="1" t="s">
        <v>238</v>
      </c>
      <c r="AH61" s="357" t="s">
        <v>239</v>
      </c>
      <c r="AI61" s="1" t="s">
        <v>238</v>
      </c>
      <c r="AJ61" s="1" t="s">
        <v>239</v>
      </c>
      <c r="AK61" s="1" t="s">
        <v>239</v>
      </c>
      <c r="AL61" s="357">
        <v>1.6E-2</v>
      </c>
      <c r="AM61" s="379">
        <v>4.0000000000000001E-3</v>
      </c>
      <c r="AN61" s="21"/>
      <c r="AO61" s="74">
        <f t="shared" ref="AO61" si="23">N61+P61/6+Z61/15+T61/15+S61/5+U61/5+X61/5</f>
        <v>0.75326666666666675</v>
      </c>
      <c r="AP61" s="13">
        <f>N61+O61/30+P61/20+Z61/20+T61/60+S61/20+U61/15+X61/10+5*0.005</f>
        <v>0.34758333333333336</v>
      </c>
      <c r="AQ61" s="81">
        <f>N61+(0.75+0.25*TANH(20*(N61-0.12)))*(O61/24+P61/6+Z61/15+T61/20+S61/5+U61/5+0.01/5+X61/5)</f>
        <v>0.58626250000000002</v>
      </c>
      <c r="AR61" s="85">
        <f t="shared" ref="AR61" si="24">N61+P61/10+U61/10+S61/20+Z61/20+T61/40</f>
        <v>0.41260000000000008</v>
      </c>
    </row>
    <row r="62" spans="2:44" ht="15.75" thickBot="1" x14ac:dyDescent="0.3">
      <c r="B62" s="41">
        <v>8</v>
      </c>
      <c r="C62" s="1" t="s">
        <v>54</v>
      </c>
      <c r="E62" s="10" t="s">
        <v>42</v>
      </c>
      <c r="F62" s="1" t="s">
        <v>53</v>
      </c>
      <c r="G62" s="1" t="s">
        <v>83</v>
      </c>
      <c r="H62" s="8" t="s">
        <v>43</v>
      </c>
      <c r="I62" s="1">
        <v>5</v>
      </c>
      <c r="K62" s="1">
        <v>13</v>
      </c>
      <c r="L62" s="1">
        <v>13</v>
      </c>
      <c r="M62" s="21"/>
      <c r="N62" s="356">
        <v>0.12</v>
      </c>
      <c r="O62" s="357">
        <v>0.56999999999999995</v>
      </c>
      <c r="P62" s="357">
        <v>1.34</v>
      </c>
      <c r="Q62" s="475">
        <v>0.01</v>
      </c>
      <c r="R62" s="476">
        <v>7.0000000000000001E-3</v>
      </c>
      <c r="S62" s="357">
        <v>0.5</v>
      </c>
      <c r="T62" s="357">
        <v>2.13</v>
      </c>
      <c r="U62" s="357">
        <v>0.71</v>
      </c>
      <c r="V62" s="1" t="s">
        <v>238</v>
      </c>
      <c r="W62" s="1">
        <v>1.0999999999999999E-2</v>
      </c>
      <c r="X62" s="357">
        <v>1.0999999999999999E-2</v>
      </c>
      <c r="Y62" s="357">
        <v>5.0000000000000001E-3</v>
      </c>
      <c r="Z62" s="357">
        <v>2.7E-2</v>
      </c>
      <c r="AA62" s="475">
        <v>1.9E-2</v>
      </c>
      <c r="AB62" s="1" t="s">
        <v>238</v>
      </c>
      <c r="AC62" s="475">
        <v>1.4999999999999999E-2</v>
      </c>
      <c r="AD62" s="1" t="s">
        <v>238</v>
      </c>
      <c r="AE62" s="1" t="s">
        <v>238</v>
      </c>
      <c r="AF62" s="1" t="s">
        <v>238</v>
      </c>
      <c r="AG62" s="1" t="s">
        <v>238</v>
      </c>
      <c r="AH62" s="357" t="s">
        <v>239</v>
      </c>
      <c r="AI62" s="1" t="s">
        <v>238</v>
      </c>
      <c r="AJ62" s="1" t="s">
        <v>239</v>
      </c>
      <c r="AK62" s="1" t="s">
        <v>239</v>
      </c>
      <c r="AL62" s="357">
        <v>1.7999999999999999E-2</v>
      </c>
      <c r="AM62" s="379">
        <v>4.0000000000000001E-3</v>
      </c>
      <c r="AN62" s="21" t="s">
        <v>240</v>
      </c>
      <c r="AO62" s="74">
        <f t="shared" si="19"/>
        <v>0.73133333333333339</v>
      </c>
      <c r="AP62" s="13">
        <f>N62+O62/30+P62/20+Z62/20+T62/60+S62/20+U62/15+X62/10+5*0.005</f>
        <v>0.34128333333333333</v>
      </c>
      <c r="AQ62" s="81">
        <f t="shared" si="21"/>
        <v>0.57043750000000004</v>
      </c>
      <c r="AR62" s="85">
        <f t="shared" si="22"/>
        <v>0.40460000000000007</v>
      </c>
    </row>
    <row r="63" spans="2:44" ht="6.75" customHeight="1" thickBot="1" x14ac:dyDescent="0.3">
      <c r="B63" s="41"/>
      <c r="E63" s="42"/>
      <c r="H63" s="8"/>
      <c r="M63" s="24"/>
      <c r="N63" s="354"/>
      <c r="O63" s="365"/>
      <c r="P63" s="365"/>
      <c r="Q63" s="475"/>
      <c r="R63" s="475"/>
      <c r="S63" s="357"/>
      <c r="T63" s="369"/>
      <c r="U63" s="357"/>
      <c r="V63" s="1"/>
      <c r="W63" s="1"/>
      <c r="X63" s="357"/>
      <c r="Y63" s="357"/>
      <c r="Z63" s="357"/>
      <c r="AA63" s="475"/>
      <c r="AB63" s="15"/>
      <c r="AC63" s="476"/>
      <c r="AD63" s="1"/>
      <c r="AE63" s="1"/>
      <c r="AF63" s="1"/>
      <c r="AG63" s="1"/>
      <c r="AH63" s="357"/>
      <c r="AI63" s="43"/>
      <c r="AJ63" s="1"/>
      <c r="AK63" s="1"/>
      <c r="AL63" s="376"/>
      <c r="AM63" s="377"/>
      <c r="AN63" s="21"/>
      <c r="AO63" s="74"/>
      <c r="AP63" s="13"/>
      <c r="AQ63" s="81"/>
      <c r="AR63" s="85"/>
    </row>
    <row r="64" spans="2:44" hidden="1" x14ac:dyDescent="0.25">
      <c r="B64" s="55">
        <v>9</v>
      </c>
      <c r="C64" s="56" t="s">
        <v>76</v>
      </c>
      <c r="D64" s="56"/>
      <c r="E64" s="17" t="s">
        <v>41</v>
      </c>
      <c r="F64" s="56" t="s">
        <v>51</v>
      </c>
      <c r="G64" s="56" t="s">
        <v>83</v>
      </c>
      <c r="H64" s="18" t="s">
        <v>152</v>
      </c>
      <c r="I64" s="56">
        <v>1</v>
      </c>
      <c r="J64" s="56"/>
      <c r="K64" s="56"/>
      <c r="L64" s="56"/>
      <c r="M64" s="21"/>
      <c r="N64" s="358" t="s">
        <v>218</v>
      </c>
      <c r="AM64" s="378"/>
      <c r="AN64" s="21"/>
      <c r="AO64" s="74"/>
      <c r="AP64" s="13"/>
      <c r="AQ64" s="81"/>
      <c r="AR64" s="85"/>
    </row>
    <row r="65" spans="2:44" hidden="1" x14ac:dyDescent="0.25">
      <c r="B65" s="55">
        <v>10</v>
      </c>
      <c r="C65" s="56" t="s">
        <v>76</v>
      </c>
      <c r="D65" s="56"/>
      <c r="E65" s="17" t="s">
        <v>41</v>
      </c>
      <c r="F65" s="56" t="s">
        <v>51</v>
      </c>
      <c r="G65" s="56" t="s">
        <v>83</v>
      </c>
      <c r="H65" s="18" t="s">
        <v>152</v>
      </c>
      <c r="I65" s="56">
        <v>1</v>
      </c>
      <c r="J65" s="56"/>
      <c r="K65" s="56"/>
      <c r="L65" s="56"/>
      <c r="M65" s="21"/>
      <c r="N65" s="358" t="s">
        <v>218</v>
      </c>
      <c r="AM65" s="378"/>
      <c r="AN65" s="21"/>
      <c r="AO65" s="74"/>
      <c r="AP65" s="13"/>
      <c r="AQ65" s="81"/>
      <c r="AR65" s="85"/>
    </row>
    <row r="66" spans="2:44" x14ac:dyDescent="0.25">
      <c r="B66" s="41">
        <v>11</v>
      </c>
      <c r="C66" s="1" t="s">
        <v>76</v>
      </c>
      <c r="E66" s="10" t="s">
        <v>41</v>
      </c>
      <c r="F66" s="1" t="s">
        <v>52</v>
      </c>
      <c r="G66" s="1" t="s">
        <v>83</v>
      </c>
      <c r="H66" s="8" t="s">
        <v>152</v>
      </c>
      <c r="I66" s="1">
        <v>1</v>
      </c>
      <c r="K66" s="243">
        <v>12</v>
      </c>
      <c r="L66" s="243">
        <v>12</v>
      </c>
      <c r="M66" s="21"/>
      <c r="N66" s="358">
        <v>0.12</v>
      </c>
      <c r="O66" s="349">
        <v>0.48</v>
      </c>
      <c r="P66" s="349">
        <v>1.46</v>
      </c>
      <c r="Q66" s="472">
        <v>1.0999999999999999E-2</v>
      </c>
      <c r="R66" s="472">
        <v>4.0000000000000001E-3</v>
      </c>
      <c r="S66" s="349">
        <v>0.3</v>
      </c>
      <c r="T66" s="349">
        <v>1.03</v>
      </c>
      <c r="U66" s="349">
        <v>0.32</v>
      </c>
      <c r="V66" t="s">
        <v>238</v>
      </c>
      <c r="W66">
        <v>1.0999999999999999E-2</v>
      </c>
      <c r="X66" s="349">
        <v>8.0000000000000002E-3</v>
      </c>
      <c r="Y66" s="349" t="s">
        <v>238</v>
      </c>
      <c r="Z66" s="349">
        <v>2.1000000000000001E-2</v>
      </c>
      <c r="AA66" s="472">
        <v>1.9E-2</v>
      </c>
      <c r="AB66" t="s">
        <v>238</v>
      </c>
      <c r="AC66" s="472" t="s">
        <v>238</v>
      </c>
      <c r="AD66" t="s">
        <v>238</v>
      </c>
      <c r="AE66" t="s">
        <v>238</v>
      </c>
      <c r="AF66" t="s">
        <v>238</v>
      </c>
      <c r="AG66" t="s">
        <v>238</v>
      </c>
      <c r="AH66" s="349" t="s">
        <v>239</v>
      </c>
      <c r="AI66" t="s">
        <v>238</v>
      </c>
      <c r="AJ66" t="s">
        <v>239</v>
      </c>
      <c r="AK66" t="s">
        <v>239</v>
      </c>
      <c r="AL66" s="349">
        <v>1.9E-2</v>
      </c>
      <c r="AM66" s="378">
        <v>4.0000000000000001E-3</v>
      </c>
      <c r="AN66" s="21"/>
      <c r="AO66" s="74">
        <f>N66+P66/6+Z66/15+T66/15+S66/5+U66/5+X66/5</f>
        <v>0.55899999999999994</v>
      </c>
      <c r="AP66" s="13">
        <f>N66+O66/30+P66/20+Z66/20+T66/60+S66/20+U66/15+X66/10+5*0.005</f>
        <v>0.28935000000000005</v>
      </c>
      <c r="AQ66" s="81">
        <f>N66+(0.75+0.25*TANH(20*(N66-0.12)))*(O66/24+P66/6+Z66/15+T66/20+S66/5+U66/5+0.01/5+X66/5)</f>
        <v>0.45287499999999997</v>
      </c>
      <c r="AR66" s="85">
        <f>N66+P66/10+U66/10+S66/20+Z66/20+T66/40</f>
        <v>0.33980000000000005</v>
      </c>
    </row>
    <row r="67" spans="2:44" hidden="1" x14ac:dyDescent="0.25">
      <c r="B67" s="55">
        <v>12</v>
      </c>
      <c r="C67" s="56" t="s">
        <v>76</v>
      </c>
      <c r="D67" s="56"/>
      <c r="E67" s="17" t="s">
        <v>41</v>
      </c>
      <c r="F67" s="56" t="s">
        <v>52</v>
      </c>
      <c r="G67" s="56" t="s">
        <v>83</v>
      </c>
      <c r="H67" s="18" t="s">
        <v>152</v>
      </c>
      <c r="I67" s="56">
        <v>1</v>
      </c>
      <c r="J67" s="56"/>
      <c r="K67" s="56"/>
      <c r="L67" s="56"/>
      <c r="M67" s="21"/>
      <c r="N67" s="358" t="s">
        <v>218</v>
      </c>
      <c r="AM67" s="378"/>
      <c r="AN67" s="21"/>
      <c r="AO67" s="74"/>
      <c r="AP67" s="13"/>
      <c r="AQ67" s="81"/>
      <c r="AR67" s="85"/>
    </row>
    <row r="68" spans="2:44" hidden="1" x14ac:dyDescent="0.25">
      <c r="B68" s="55">
        <v>13</v>
      </c>
      <c r="C68" s="56" t="s">
        <v>76</v>
      </c>
      <c r="D68" s="56"/>
      <c r="E68" s="17" t="s">
        <v>42</v>
      </c>
      <c r="F68" s="56" t="s">
        <v>53</v>
      </c>
      <c r="G68" s="56" t="s">
        <v>83</v>
      </c>
      <c r="H68" s="18" t="s">
        <v>152</v>
      </c>
      <c r="I68" s="56">
        <v>1</v>
      </c>
      <c r="J68" s="56"/>
      <c r="K68" s="56"/>
      <c r="L68" s="56"/>
      <c r="M68" s="21"/>
      <c r="N68" s="358" t="s">
        <v>218</v>
      </c>
      <c r="AM68" s="378"/>
      <c r="AN68" s="21"/>
      <c r="AO68" s="74"/>
      <c r="AP68" s="13"/>
      <c r="AQ68" s="81"/>
      <c r="AR68" s="85"/>
    </row>
    <row r="69" spans="2:44" hidden="1" x14ac:dyDescent="0.25">
      <c r="B69" s="55">
        <v>14</v>
      </c>
      <c r="C69" s="56" t="s">
        <v>76</v>
      </c>
      <c r="D69" s="56"/>
      <c r="E69" s="17" t="s">
        <v>42</v>
      </c>
      <c r="F69" s="56" t="s">
        <v>53</v>
      </c>
      <c r="G69" s="56" t="s">
        <v>83</v>
      </c>
      <c r="H69" s="18" t="s">
        <v>152</v>
      </c>
      <c r="I69" s="56">
        <v>1</v>
      </c>
      <c r="J69" s="56"/>
      <c r="K69" s="56"/>
      <c r="L69" s="56"/>
      <c r="M69" s="21"/>
      <c r="N69" s="358" t="s">
        <v>218</v>
      </c>
      <c r="AM69" s="378"/>
      <c r="AN69" s="21"/>
      <c r="AO69" s="74"/>
      <c r="AP69" s="13"/>
      <c r="AQ69" s="81"/>
      <c r="AR69" s="85"/>
    </row>
    <row r="70" spans="2:44" x14ac:dyDescent="0.25">
      <c r="B70" s="41">
        <v>15</v>
      </c>
      <c r="C70" s="1" t="s">
        <v>76</v>
      </c>
      <c r="E70" s="10" t="s">
        <v>42</v>
      </c>
      <c r="F70" s="1" t="s">
        <v>57</v>
      </c>
      <c r="G70" s="1" t="s">
        <v>83</v>
      </c>
      <c r="H70" s="8" t="s">
        <v>152</v>
      </c>
      <c r="I70" s="1">
        <v>1</v>
      </c>
      <c r="K70" s="243">
        <v>12</v>
      </c>
      <c r="L70" s="243">
        <v>12</v>
      </c>
      <c r="M70" s="21"/>
      <c r="N70" s="358">
        <v>0.13</v>
      </c>
      <c r="O70" s="349">
        <v>0.56000000000000005</v>
      </c>
      <c r="P70" s="349">
        <v>1.53</v>
      </c>
      <c r="Q70" s="472">
        <v>6.0000000000000001E-3</v>
      </c>
      <c r="R70" s="472">
        <v>2E-3</v>
      </c>
      <c r="S70" s="349">
        <v>0.31</v>
      </c>
      <c r="T70" s="349">
        <v>1.29</v>
      </c>
      <c r="U70" s="349">
        <v>0.61</v>
      </c>
      <c r="V70" t="s">
        <v>238</v>
      </c>
      <c r="W70">
        <v>1.2999999999999999E-2</v>
      </c>
      <c r="X70" s="349">
        <v>2.3E-2</v>
      </c>
      <c r="Y70" s="349">
        <v>8.0000000000000002E-3</v>
      </c>
      <c r="Z70" s="349">
        <v>2.3E-2</v>
      </c>
      <c r="AA70" s="472">
        <v>0.03</v>
      </c>
      <c r="AB70" t="s">
        <v>238</v>
      </c>
      <c r="AC70" s="472">
        <v>2.5000000000000001E-2</v>
      </c>
      <c r="AD70" t="s">
        <v>238</v>
      </c>
      <c r="AE70" t="s">
        <v>238</v>
      </c>
      <c r="AF70" t="s">
        <v>238</v>
      </c>
      <c r="AG70" t="s">
        <v>238</v>
      </c>
      <c r="AH70" s="349" t="s">
        <v>239</v>
      </c>
      <c r="AI70" t="s">
        <v>238</v>
      </c>
      <c r="AJ70" t="s">
        <v>239</v>
      </c>
      <c r="AK70" t="s">
        <v>239</v>
      </c>
      <c r="AL70" s="349">
        <v>2.1999999999999999E-2</v>
      </c>
      <c r="AM70" s="378">
        <v>6.0000000000000001E-3</v>
      </c>
      <c r="AN70" s="21"/>
      <c r="AO70" s="74">
        <f>N70+P70/6+Z70/15+T70/15+S70/5+U70/5+X70/5</f>
        <v>0.66113333333333335</v>
      </c>
      <c r="AP70" s="13">
        <f>N70+O70/30+P70/20+Z70/20+T70/60+S70/20+U70/15+X70/10+5*0.005</f>
        <v>0.33128333333333343</v>
      </c>
      <c r="AQ70" s="81">
        <f>N70+(0.75+0.25*TANH(20*(N70-0.12)))*(O70/24+P70/6+Z70/15+T70/20+S70/5+U70/5+Y70/5+X70/5)</f>
        <v>0.55730256675372325</v>
      </c>
      <c r="AR70" s="85">
        <f>N70+P70/10+U70/10+S70/20+Z70/20+T70/40</f>
        <v>0.39290000000000003</v>
      </c>
    </row>
    <row r="71" spans="2:44" hidden="1" x14ac:dyDescent="0.25">
      <c r="B71" s="55">
        <v>16</v>
      </c>
      <c r="C71" s="56" t="s">
        <v>76</v>
      </c>
      <c r="D71" s="56"/>
      <c r="E71" s="17" t="s">
        <v>42</v>
      </c>
      <c r="F71" s="56" t="s">
        <v>57</v>
      </c>
      <c r="G71" s="56" t="s">
        <v>83</v>
      </c>
      <c r="H71" s="18" t="s">
        <v>152</v>
      </c>
      <c r="I71" s="56">
        <v>1</v>
      </c>
      <c r="J71" s="56"/>
      <c r="K71" s="56"/>
      <c r="L71" s="56"/>
      <c r="M71" s="21"/>
      <c r="N71" s="358" t="s">
        <v>218</v>
      </c>
      <c r="AM71" s="378"/>
      <c r="AN71" s="21"/>
      <c r="AO71" s="74"/>
      <c r="AP71" s="13"/>
      <c r="AQ71" s="81"/>
      <c r="AR71" s="85"/>
    </row>
    <row r="72" spans="2:44" ht="6.75" customHeight="1" x14ac:dyDescent="0.25">
      <c r="B72" s="41"/>
      <c r="E72" s="42"/>
      <c r="M72" s="21"/>
      <c r="N72" s="354"/>
      <c r="O72" s="365"/>
      <c r="P72" s="365"/>
      <c r="Q72" s="475"/>
      <c r="R72" s="475"/>
      <c r="S72" s="357"/>
      <c r="T72" s="369"/>
      <c r="U72" s="357"/>
      <c r="V72" s="1"/>
      <c r="W72" s="1"/>
      <c r="X72" s="357"/>
      <c r="Y72" s="357"/>
      <c r="Z72" s="357"/>
      <c r="AA72" s="475"/>
      <c r="AB72" s="15"/>
      <c r="AC72" s="476"/>
      <c r="AD72" s="1"/>
      <c r="AE72" s="1"/>
      <c r="AF72" s="1"/>
      <c r="AG72" s="1"/>
      <c r="AH72" s="357"/>
      <c r="AI72" s="43"/>
      <c r="AJ72" s="1"/>
      <c r="AK72" s="1"/>
      <c r="AL72" s="376"/>
      <c r="AM72" s="377"/>
      <c r="AN72" s="21"/>
      <c r="AO72" s="74"/>
      <c r="AP72" s="13"/>
      <c r="AQ72" s="81"/>
      <c r="AR72" s="85"/>
    </row>
    <row r="73" spans="2:44" s="34" customFormat="1" ht="15" customHeight="1" x14ac:dyDescent="0.25">
      <c r="B73" s="58" t="s">
        <v>72</v>
      </c>
      <c r="C73" s="31" t="s">
        <v>59</v>
      </c>
      <c r="D73" s="31" t="s">
        <v>61</v>
      </c>
      <c r="E73" s="30" t="s">
        <v>41</v>
      </c>
      <c r="F73" s="31" t="s">
        <v>52</v>
      </c>
      <c r="G73" s="31" t="s">
        <v>83</v>
      </c>
      <c r="H73" s="8" t="s">
        <v>153</v>
      </c>
      <c r="I73" s="1">
        <v>1</v>
      </c>
      <c r="J73" s="1"/>
      <c r="K73" s="31">
        <v>5</v>
      </c>
      <c r="L73" s="31">
        <v>5</v>
      </c>
      <c r="M73" s="32"/>
      <c r="N73" s="359">
        <v>0.12</v>
      </c>
      <c r="O73" s="366">
        <v>0.37</v>
      </c>
      <c r="P73" s="366">
        <v>1.26</v>
      </c>
      <c r="Q73" s="477">
        <v>0.01</v>
      </c>
      <c r="R73" s="477">
        <v>2E-3</v>
      </c>
      <c r="S73" s="366">
        <v>0.3</v>
      </c>
      <c r="T73" s="366">
        <v>0.54</v>
      </c>
      <c r="U73" s="366">
        <v>0.24</v>
      </c>
      <c r="V73" s="30" t="s">
        <v>50</v>
      </c>
      <c r="W73" s="30">
        <v>1.2999999999999999E-2</v>
      </c>
      <c r="X73" s="366">
        <v>0.01</v>
      </c>
      <c r="Y73" s="366">
        <v>2E-3</v>
      </c>
      <c r="Z73" s="366">
        <v>0.02</v>
      </c>
      <c r="AA73" s="477">
        <v>3.1E-2</v>
      </c>
      <c r="AB73" s="30">
        <v>1E-3</v>
      </c>
      <c r="AC73" s="477">
        <v>7.0000000000000001E-3</v>
      </c>
      <c r="AD73" s="30" t="s">
        <v>49</v>
      </c>
      <c r="AE73" s="30">
        <v>1E-3</v>
      </c>
      <c r="AF73" s="30"/>
      <c r="AG73" s="30" t="s">
        <v>50</v>
      </c>
      <c r="AH73" s="366">
        <v>1E-3</v>
      </c>
      <c r="AI73" s="30" t="s">
        <v>50</v>
      </c>
      <c r="AJ73" s="30">
        <v>4.0000000000000002E-4</v>
      </c>
      <c r="AK73" s="30" t="s">
        <v>62</v>
      </c>
      <c r="AL73" s="366">
        <v>1.2E-2</v>
      </c>
      <c r="AM73" s="380">
        <v>8.0000000000000002E-3</v>
      </c>
      <c r="AN73" s="69" t="s">
        <v>82</v>
      </c>
      <c r="AO73" s="75">
        <f>N73+P73/6+Z73/15+T73/15+S73/5+U73/5+X73/5</f>
        <v>0.47733333333333328</v>
      </c>
      <c r="AP73" s="33">
        <f>N73+O73/30+P73/20+Z73/20+T73/60+S73/20+U73/15+X73/10+5*AH73</f>
        <v>0.24233333333333335</v>
      </c>
      <c r="AQ73" s="82">
        <f>N73+(0.75+0.25*TANH(20*(N73-0.12)))*(O73/24+P73/6+Z73/15+T73/20+S73/5+U73/5+Y73/5+X73/5)</f>
        <v>0.39311249999999998</v>
      </c>
      <c r="AR73" s="85">
        <f>N73+P73/10+U73/10+S73/20+Z73/20+T73/40</f>
        <v>0.29950000000000004</v>
      </c>
    </row>
    <row r="74" spans="2:44" s="34" customFormat="1" ht="15" customHeight="1" x14ac:dyDescent="0.25">
      <c r="B74" s="58" t="s">
        <v>73</v>
      </c>
      <c r="C74" s="31" t="s">
        <v>59</v>
      </c>
      <c r="D74" s="31" t="s">
        <v>60</v>
      </c>
      <c r="E74" s="30" t="s">
        <v>42</v>
      </c>
      <c r="F74" s="31" t="s">
        <v>57</v>
      </c>
      <c r="G74" s="31" t="s">
        <v>83</v>
      </c>
      <c r="H74" s="8" t="s">
        <v>153</v>
      </c>
      <c r="I74" s="1">
        <v>1</v>
      </c>
      <c r="J74" s="1"/>
      <c r="K74" s="31">
        <v>5</v>
      </c>
      <c r="L74" s="31">
        <v>5</v>
      </c>
      <c r="M74" s="32"/>
      <c r="N74" s="359">
        <v>0.15</v>
      </c>
      <c r="O74" s="366">
        <v>0.37</v>
      </c>
      <c r="P74" s="366">
        <v>1.33</v>
      </c>
      <c r="Q74" s="477">
        <v>6.0000000000000001E-3</v>
      </c>
      <c r="R74" s="477">
        <v>2E-3</v>
      </c>
      <c r="S74" s="366">
        <v>0.26</v>
      </c>
      <c r="T74" s="366">
        <v>0.68</v>
      </c>
      <c r="U74" s="366">
        <v>0.61</v>
      </c>
      <c r="V74" s="30" t="s">
        <v>50</v>
      </c>
      <c r="W74" s="30">
        <v>1.2999999999999999E-2</v>
      </c>
      <c r="X74" s="366">
        <v>0.03</v>
      </c>
      <c r="Y74" s="366">
        <v>1.0999999999999999E-2</v>
      </c>
      <c r="Z74" s="366">
        <v>0.02</v>
      </c>
      <c r="AA74" s="477">
        <v>3.5999999999999997E-2</v>
      </c>
      <c r="AB74" s="30">
        <v>1E-3</v>
      </c>
      <c r="AC74" s="477">
        <v>1.4E-2</v>
      </c>
      <c r="AD74" s="30" t="s">
        <v>49</v>
      </c>
      <c r="AE74" s="30">
        <v>1E-3</v>
      </c>
      <c r="AF74" s="30"/>
      <c r="AG74" s="30" t="s">
        <v>50</v>
      </c>
      <c r="AH74" s="366">
        <v>1E-3</v>
      </c>
      <c r="AI74" s="30" t="s">
        <v>50</v>
      </c>
      <c r="AJ74" s="30">
        <v>5.0000000000000001E-4</v>
      </c>
      <c r="AK74" s="30" t="s">
        <v>62</v>
      </c>
      <c r="AL74" s="366">
        <v>1.0999999999999999E-2</v>
      </c>
      <c r="AM74" s="380">
        <v>8.9999999999999993E-3</v>
      </c>
      <c r="AN74" s="69" t="s">
        <v>79</v>
      </c>
      <c r="AO74" s="75">
        <f>N74+P74/6+Z74/15+T74/15+S74/5+U74/5+X74/5</f>
        <v>0.59833333333333338</v>
      </c>
      <c r="AP74" s="33">
        <f>N74+O74/30+P74/20+Z74/20+T74/60+S74/20+U74/15+X74/10+5*AH74</f>
        <v>0.30283333333333334</v>
      </c>
      <c r="AQ74" s="82">
        <f>N74+(0.75+0.25*TANH(20*(N74-0.12)))*(O74/24+P74/6+Z74/15+T74/20+S74/5+U74/5+Y74/5+X74/5)</f>
        <v>0.55200042099585578</v>
      </c>
      <c r="AR74" s="85">
        <f>N74+P74/10+U74/10+S74/20+Z74/20+T74/40</f>
        <v>0.37500000000000006</v>
      </c>
    </row>
    <row r="75" spans="2:44" ht="6.75" customHeight="1" x14ac:dyDescent="0.25">
      <c r="B75" s="41"/>
      <c r="E75" s="42"/>
      <c r="M75" s="21"/>
      <c r="N75" s="354"/>
      <c r="O75" s="365"/>
      <c r="P75" s="365"/>
      <c r="Q75" s="475"/>
      <c r="R75" s="475"/>
      <c r="S75" s="357"/>
      <c r="T75" s="369"/>
      <c r="U75" s="357"/>
      <c r="V75" s="1"/>
      <c r="W75" s="1"/>
      <c r="X75" s="357"/>
      <c r="Y75" s="357"/>
      <c r="Z75" s="357"/>
      <c r="AA75" s="475"/>
      <c r="AB75" s="15"/>
      <c r="AC75" s="476"/>
      <c r="AD75" s="1"/>
      <c r="AE75" s="1"/>
      <c r="AF75" s="1"/>
      <c r="AG75" s="1"/>
      <c r="AH75" s="357"/>
      <c r="AI75" s="43"/>
      <c r="AJ75" s="1"/>
      <c r="AK75" s="1"/>
      <c r="AL75" s="376"/>
      <c r="AM75" s="377"/>
      <c r="AN75" s="21"/>
      <c r="AO75" s="74"/>
      <c r="AP75" s="13"/>
      <c r="AQ75" s="81"/>
      <c r="AR75" s="85"/>
    </row>
    <row r="76" spans="2:44" hidden="1" x14ac:dyDescent="0.25">
      <c r="B76" s="41">
        <v>21</v>
      </c>
      <c r="C76" s="1" t="s">
        <v>77</v>
      </c>
      <c r="E76" s="10" t="s">
        <v>41</v>
      </c>
      <c r="F76" s="1" t="s">
        <v>52</v>
      </c>
      <c r="G76" s="1" t="s">
        <v>83</v>
      </c>
      <c r="H76" s="47" t="s">
        <v>154</v>
      </c>
      <c r="I76" s="47">
        <v>1</v>
      </c>
      <c r="J76" s="47"/>
      <c r="K76" s="47"/>
      <c r="L76" s="47"/>
      <c r="M76" s="21"/>
      <c r="N76" s="354"/>
      <c r="O76" s="357"/>
      <c r="P76" s="357"/>
      <c r="Q76" s="476"/>
      <c r="R76" s="475"/>
      <c r="S76" s="357"/>
      <c r="T76" s="365"/>
      <c r="U76" s="357"/>
      <c r="V76" s="16"/>
      <c r="W76" s="1"/>
      <c r="X76" s="357"/>
      <c r="Y76" s="357"/>
      <c r="Z76" s="357"/>
      <c r="AA76" s="475"/>
      <c r="AB76" s="1"/>
      <c r="AC76" s="475"/>
      <c r="AD76" s="16"/>
      <c r="AE76" s="1"/>
      <c r="AF76" s="16"/>
      <c r="AG76" s="16"/>
      <c r="AH76" s="357"/>
      <c r="AI76" s="16"/>
      <c r="AJ76" s="1"/>
      <c r="AK76" s="16"/>
      <c r="AL76" s="357"/>
      <c r="AM76" s="379"/>
      <c r="AN76" s="21"/>
      <c r="AO76" s="74">
        <f>N76+P76/6+Z76/15+T76/15+S76/5+U76/5+X76/5</f>
        <v>0</v>
      </c>
      <c r="AP76" s="13">
        <f>N76+O76/30+P76/20+Z76/20+T76/60+S76/20+U76/15+X76/10+5*AH76</f>
        <v>0</v>
      </c>
      <c r="AQ76" s="81">
        <f>N76+(0.75+0.25*TANH(20*(N76-0.12)))*(O76/24+P76/6+Z76/15+T76/20+S76/5+U76/5+Y76/5+X76/5)</f>
        <v>0</v>
      </c>
      <c r="AR76" s="85">
        <f>N76+P76/10+U76/10+S76/20+Z76/20+T76/40</f>
        <v>0</v>
      </c>
    </row>
    <row r="77" spans="2:44" hidden="1" x14ac:dyDescent="0.25">
      <c r="B77" s="41">
        <v>22</v>
      </c>
      <c r="C77" s="1" t="s">
        <v>77</v>
      </c>
      <c r="E77" s="10" t="s">
        <v>41</v>
      </c>
      <c r="F77" s="1" t="s">
        <v>52</v>
      </c>
      <c r="G77" s="1" t="s">
        <v>83</v>
      </c>
      <c r="H77" s="47" t="s">
        <v>154</v>
      </c>
      <c r="I77" s="47">
        <v>1</v>
      </c>
      <c r="J77" s="47"/>
      <c r="K77" s="47"/>
      <c r="L77" s="47"/>
      <c r="M77" s="21"/>
      <c r="N77" s="354"/>
      <c r="O77" s="357"/>
      <c r="P77" s="357"/>
      <c r="Q77" s="476"/>
      <c r="R77" s="475"/>
      <c r="S77" s="357"/>
      <c r="T77" s="365"/>
      <c r="U77" s="357"/>
      <c r="V77" s="16"/>
      <c r="W77" s="1"/>
      <c r="X77" s="357"/>
      <c r="Y77" s="357"/>
      <c r="Z77" s="357"/>
      <c r="AA77" s="475"/>
      <c r="AB77" s="1"/>
      <c r="AC77" s="475"/>
      <c r="AD77" s="16"/>
      <c r="AE77" s="1"/>
      <c r="AF77" s="16"/>
      <c r="AG77" s="16"/>
      <c r="AH77" s="357"/>
      <c r="AI77" s="16"/>
      <c r="AJ77" s="1"/>
      <c r="AK77" s="16"/>
      <c r="AL77" s="357"/>
      <c r="AM77" s="379"/>
      <c r="AN77" s="21"/>
      <c r="AO77" s="74">
        <f>N77+P77/6+Z77/15+T77/15+S77/5+U77/5+X77/5</f>
        <v>0</v>
      </c>
      <c r="AP77" s="13">
        <f>N77+O77/30+P77/20+Z77/20+T77/60+S77/20+U77/15+X77/10+5*AH77</f>
        <v>0</v>
      </c>
      <c r="AQ77" s="81">
        <f>N77+(0.75+0.25*TANH(20*(N77-0.12)))*(O77/24+P77/6+Z77/15+T77/20+S77/5+U77/5+Y77/5+X77/5)</f>
        <v>0</v>
      </c>
      <c r="AR77" s="85">
        <f>N77+P77/10+U77/10+S77/20+Z77/20+T77/40</f>
        <v>0</v>
      </c>
    </row>
    <row r="78" spans="2:44" hidden="1" x14ac:dyDescent="0.25">
      <c r="B78" s="41">
        <v>23</v>
      </c>
      <c r="C78" s="1" t="s">
        <v>77</v>
      </c>
      <c r="E78" s="10" t="s">
        <v>42</v>
      </c>
      <c r="F78" s="1" t="s">
        <v>57</v>
      </c>
      <c r="G78" s="1" t="s">
        <v>83</v>
      </c>
      <c r="H78" s="47" t="s">
        <v>154</v>
      </c>
      <c r="I78" s="47">
        <v>1</v>
      </c>
      <c r="J78" s="47"/>
      <c r="K78" s="47"/>
      <c r="L78" s="47"/>
      <c r="M78" s="21"/>
      <c r="N78" s="354"/>
      <c r="O78" s="357"/>
      <c r="P78" s="357"/>
      <c r="Q78" s="476"/>
      <c r="R78" s="475"/>
      <c r="S78" s="357"/>
      <c r="T78" s="365"/>
      <c r="U78" s="357"/>
      <c r="V78" s="16"/>
      <c r="W78" s="1"/>
      <c r="X78" s="357"/>
      <c r="Y78" s="357"/>
      <c r="Z78" s="357"/>
      <c r="AA78" s="475"/>
      <c r="AB78" s="1"/>
      <c r="AC78" s="475"/>
      <c r="AD78" s="16"/>
      <c r="AE78" s="1"/>
      <c r="AF78" s="16"/>
      <c r="AG78" s="16"/>
      <c r="AH78" s="357"/>
      <c r="AI78" s="16"/>
      <c r="AJ78" s="1"/>
      <c r="AK78" s="16"/>
      <c r="AL78" s="357"/>
      <c r="AM78" s="379"/>
      <c r="AN78" s="21"/>
      <c r="AO78" s="74">
        <f>N78+P78/6+Z78/15+T78/15+S78/5+U78/5+X78/5</f>
        <v>0</v>
      </c>
      <c r="AP78" s="13">
        <f>N78+O78/30+P78/20+Z78/20+T78/60+S78/20+U78/15+X78/10+5*AH78</f>
        <v>0</v>
      </c>
      <c r="AQ78" s="81">
        <f>N78+(0.75+0.25*TANH(20*(N78-0.12)))*(O78/24+P78/6+Z78/15+T78/20+S78/5+U78/5+Y78/5+X78/5)</f>
        <v>0</v>
      </c>
      <c r="AR78" s="85">
        <f>N78+P78/10+U78/10+S78/20+Z78/20+T78/40</f>
        <v>0</v>
      </c>
    </row>
    <row r="79" spans="2:44" hidden="1" x14ac:dyDescent="0.25">
      <c r="B79" s="41">
        <v>24</v>
      </c>
      <c r="C79" s="1" t="s">
        <v>77</v>
      </c>
      <c r="E79" s="10" t="s">
        <v>42</v>
      </c>
      <c r="F79" s="1" t="s">
        <v>57</v>
      </c>
      <c r="G79" s="1" t="s">
        <v>83</v>
      </c>
      <c r="H79" s="47" t="s">
        <v>154</v>
      </c>
      <c r="I79" s="47">
        <v>1</v>
      </c>
      <c r="J79" s="47"/>
      <c r="K79" s="47"/>
      <c r="L79" s="47"/>
      <c r="M79" s="21"/>
      <c r="N79" s="354"/>
      <c r="O79" s="357"/>
      <c r="P79" s="357"/>
      <c r="Q79" s="476"/>
      <c r="R79" s="475"/>
      <c r="S79" s="357"/>
      <c r="T79" s="365"/>
      <c r="U79" s="357"/>
      <c r="V79" s="16"/>
      <c r="W79" s="1"/>
      <c r="X79" s="357"/>
      <c r="Y79" s="357"/>
      <c r="Z79" s="357"/>
      <c r="AA79" s="475"/>
      <c r="AB79" s="1"/>
      <c r="AC79" s="475"/>
      <c r="AD79" s="16"/>
      <c r="AE79" s="1"/>
      <c r="AF79" s="16"/>
      <c r="AG79" s="16"/>
      <c r="AH79" s="357"/>
      <c r="AI79" s="16"/>
      <c r="AJ79" s="1"/>
      <c r="AK79" s="16"/>
      <c r="AL79" s="357"/>
      <c r="AM79" s="379"/>
      <c r="AN79" s="21"/>
      <c r="AO79" s="74">
        <f>N79+P79/6+Z79/15+T79/15+S79/5+U79/5+X79/5</f>
        <v>0</v>
      </c>
      <c r="AP79" s="13">
        <f>N79+O79/30+P79/20+Z79/20+T79/60+S79/20+U79/15+X79/10+5*AH79</f>
        <v>0</v>
      </c>
      <c r="AQ79" s="81">
        <f>N79+(0.75+0.25*TANH(20*(N79-0.12)))*(O79/24+P79/6+Z79/15+T79/20+S79/5+U79/5+Y79/5+X79/5)</f>
        <v>0</v>
      </c>
      <c r="AR79" s="85">
        <f>N79+P79/10+U79/10+S79/20+Z79/20+T79/40</f>
        <v>0</v>
      </c>
    </row>
    <row r="80" spans="2:44" ht="6.75" hidden="1" customHeight="1" x14ac:dyDescent="0.25">
      <c r="B80" s="41"/>
      <c r="E80" s="42"/>
      <c r="H80" s="8"/>
      <c r="M80" s="21"/>
      <c r="N80" s="354"/>
      <c r="O80" s="365"/>
      <c r="P80" s="365"/>
      <c r="Q80" s="475"/>
      <c r="R80" s="475"/>
      <c r="S80" s="357"/>
      <c r="T80" s="369"/>
      <c r="U80" s="357"/>
      <c r="V80" s="1"/>
      <c r="W80" s="1"/>
      <c r="X80" s="357"/>
      <c r="Y80" s="357"/>
      <c r="Z80" s="357"/>
      <c r="AA80" s="475"/>
      <c r="AB80" s="15"/>
      <c r="AC80" s="476"/>
      <c r="AD80" s="1"/>
      <c r="AE80" s="1"/>
      <c r="AF80" s="1"/>
      <c r="AG80" s="1"/>
      <c r="AH80" s="357"/>
      <c r="AI80" s="43"/>
      <c r="AJ80" s="1"/>
      <c r="AK80" s="1"/>
      <c r="AL80" s="376"/>
      <c r="AM80" s="377"/>
      <c r="AN80" s="21"/>
      <c r="AO80" s="74"/>
      <c r="AP80" s="13"/>
      <c r="AQ80" s="81"/>
      <c r="AR80" s="85"/>
    </row>
    <row r="81" spans="2:44" x14ac:dyDescent="0.25">
      <c r="B81" s="41" t="s">
        <v>74</v>
      </c>
      <c r="C81" s="1" t="s">
        <v>63</v>
      </c>
      <c r="D81" s="11">
        <v>4417</v>
      </c>
      <c r="E81" s="42" t="s">
        <v>39</v>
      </c>
      <c r="F81" s="11" t="s">
        <v>67</v>
      </c>
      <c r="G81" s="1" t="s">
        <v>66</v>
      </c>
      <c r="H81" s="8" t="s">
        <v>64</v>
      </c>
      <c r="I81" s="42" t="s">
        <v>39</v>
      </c>
      <c r="J81" s="1">
        <v>9</v>
      </c>
      <c r="K81" s="42" t="s">
        <v>39</v>
      </c>
      <c r="L81" s="1">
        <v>9</v>
      </c>
      <c r="M81" s="21"/>
      <c r="N81" s="360">
        <v>8.8999999999999996E-2</v>
      </c>
      <c r="O81" s="367">
        <v>0.38</v>
      </c>
      <c r="P81" s="367">
        <v>1.6</v>
      </c>
      <c r="Q81" s="478">
        <v>1.0999999999999999E-2</v>
      </c>
      <c r="R81" s="478">
        <v>5.0000000000000001E-3</v>
      </c>
      <c r="S81" s="367">
        <v>4.2999999999999997E-2</v>
      </c>
      <c r="T81" s="370">
        <v>2.5</v>
      </c>
      <c r="U81" s="367">
        <v>0.98</v>
      </c>
      <c r="V81" s="10">
        <v>8.0000000000000002E-3</v>
      </c>
      <c r="W81" s="10">
        <v>8.0000000000000002E-3</v>
      </c>
      <c r="X81" s="367">
        <v>3.0000000000000001E-3</v>
      </c>
      <c r="Y81" s="367">
        <v>6.0000000000000001E-3</v>
      </c>
      <c r="Z81" s="367">
        <v>5.3999999999999999E-2</v>
      </c>
      <c r="AA81" s="478">
        <v>0.02</v>
      </c>
      <c r="AB81" s="10">
        <v>4.0000000000000001E-3</v>
      </c>
      <c r="AC81" s="478">
        <v>1.0999999999999999E-2</v>
      </c>
      <c r="AD81" s="10" t="s">
        <v>46</v>
      </c>
      <c r="AE81" s="10">
        <v>4.0000000000000001E-3</v>
      </c>
      <c r="AF81" s="10">
        <v>3.0000000000000001E-3</v>
      </c>
      <c r="AG81" s="10" t="s">
        <v>47</v>
      </c>
      <c r="AH81" s="367">
        <v>2.0000000000000001E-4</v>
      </c>
      <c r="AI81" s="10">
        <v>4.0000000000000001E-3</v>
      </c>
      <c r="AJ81" s="10">
        <v>5.0000000000000001E-4</v>
      </c>
      <c r="AK81" s="14">
        <v>1.9E-3</v>
      </c>
      <c r="AL81" s="367">
        <v>1.6E-2</v>
      </c>
      <c r="AM81" s="381">
        <v>3.0000000000000001E-3</v>
      </c>
      <c r="AN81" s="21" t="s">
        <v>69</v>
      </c>
      <c r="AO81" s="74">
        <f>N81+P81/6+Z81/15+T81/15+S81/5+U81/5+X81/5</f>
        <v>0.73113333333333352</v>
      </c>
      <c r="AP81" s="13">
        <f>N81+O81/30+P81/20+Z81/20+T81/60+S81/20+U81/15+X81/10+5*AH81</f>
        <v>0.29481666666666667</v>
      </c>
      <c r="AQ81" s="81">
        <f>N81+(0.75+0.25*TANH(20*(N81-0.12)))*(O81/24+P81/6+Z81/15+T81/20+S81/5+U81/5+Y81/5+X81/5)</f>
        <v>0.46704461059442348</v>
      </c>
      <c r="AR81" s="85">
        <f>N81+P81/10+U81/10+S81/20+Z81/20+T81/40</f>
        <v>0.41434999999999994</v>
      </c>
    </row>
    <row r="82" spans="2:44" x14ac:dyDescent="0.25">
      <c r="B82" s="41" t="s">
        <v>74</v>
      </c>
      <c r="C82" s="1" t="s">
        <v>63</v>
      </c>
      <c r="D82" s="11">
        <v>4418</v>
      </c>
      <c r="E82" s="42" t="s">
        <v>39</v>
      </c>
      <c r="F82" s="11" t="s">
        <v>68</v>
      </c>
      <c r="G82" s="1" t="s">
        <v>66</v>
      </c>
      <c r="H82" s="8" t="s">
        <v>64</v>
      </c>
      <c r="I82" s="42" t="s">
        <v>39</v>
      </c>
      <c r="J82" s="1">
        <v>9</v>
      </c>
      <c r="K82" s="42" t="s">
        <v>39</v>
      </c>
      <c r="L82" s="1">
        <v>9</v>
      </c>
      <c r="M82" s="21"/>
      <c r="N82" s="360">
        <v>0.11</v>
      </c>
      <c r="O82" s="367">
        <v>0.39</v>
      </c>
      <c r="P82" s="367">
        <v>1.7</v>
      </c>
      <c r="Q82" s="478">
        <v>1.0999999999999999E-2</v>
      </c>
      <c r="R82" s="478">
        <v>5.0000000000000001E-3</v>
      </c>
      <c r="S82" s="367">
        <v>3.9E-2</v>
      </c>
      <c r="T82" s="367">
        <v>2.59</v>
      </c>
      <c r="U82" s="367">
        <v>1.05</v>
      </c>
      <c r="V82" s="10">
        <v>8.0000000000000002E-3</v>
      </c>
      <c r="W82" s="10">
        <v>8.0000000000000002E-3</v>
      </c>
      <c r="X82" s="367">
        <v>3.0000000000000001E-3</v>
      </c>
      <c r="Y82" s="367">
        <v>7.0000000000000001E-3</v>
      </c>
      <c r="Z82" s="367">
        <v>3.5999999999999997E-2</v>
      </c>
      <c r="AA82" s="478">
        <v>2.1000000000000001E-2</v>
      </c>
      <c r="AB82" s="10">
        <v>4.0000000000000001E-3</v>
      </c>
      <c r="AC82" s="478">
        <v>0.01</v>
      </c>
      <c r="AD82" s="10" t="s">
        <v>46</v>
      </c>
      <c r="AE82" s="10">
        <v>3.0000000000000001E-3</v>
      </c>
      <c r="AF82" s="10">
        <v>2E-3</v>
      </c>
      <c r="AG82" s="10" t="s">
        <v>47</v>
      </c>
      <c r="AH82" s="367">
        <v>2.0000000000000001E-4</v>
      </c>
      <c r="AI82" s="10">
        <v>5.0000000000000001E-3</v>
      </c>
      <c r="AJ82" s="10">
        <v>8.0000000000000004E-4</v>
      </c>
      <c r="AK82" s="10">
        <v>2E-3</v>
      </c>
      <c r="AL82" s="367">
        <v>1.6E-2</v>
      </c>
      <c r="AM82" s="381">
        <v>3.0000000000000001E-3</v>
      </c>
      <c r="AN82" s="21" t="s">
        <v>69</v>
      </c>
      <c r="AO82" s="74">
        <f>N82+P82/6+Z82/15+T82/15+S82/5+U82/5+X82/5</f>
        <v>0.78680000000000005</v>
      </c>
      <c r="AP82" s="13">
        <f>N82+O82/30+P82/20+Z82/20+T82/60+S82/20+U82/15+X82/10+5*AH82</f>
        <v>0.32621666666666671</v>
      </c>
      <c r="AQ82" s="81">
        <f>N82+(0.75+0.25*TANH(20*(N82-0.12)))*(O82/24+P82/6+Z82/15+T82/20+S82/5+U82/5+Y82/5+X82/5)</f>
        <v>0.56632568588154764</v>
      </c>
      <c r="AR82" s="85">
        <f>N82+P82/10+U82/10+S82/20+Z82/20+T82/40</f>
        <v>0.45350000000000001</v>
      </c>
    </row>
    <row r="83" spans="2:44" ht="6.75" customHeight="1" x14ac:dyDescent="0.25">
      <c r="B83" s="41"/>
      <c r="M83" s="21"/>
      <c r="N83" s="361"/>
      <c r="AM83" s="378"/>
      <c r="AN83" s="21"/>
      <c r="AO83" s="74"/>
      <c r="AP83" s="13"/>
      <c r="AQ83" s="81"/>
      <c r="AR83" s="85"/>
    </row>
    <row r="84" spans="2:44" x14ac:dyDescent="0.25">
      <c r="B84" s="41"/>
      <c r="C84" s="1" t="s">
        <v>63</v>
      </c>
      <c r="D84" s="11">
        <v>5209</v>
      </c>
      <c r="E84" s="10" t="s">
        <v>41</v>
      </c>
      <c r="F84" s="11" t="s">
        <v>67</v>
      </c>
      <c r="G84" s="1" t="s">
        <v>66</v>
      </c>
      <c r="H84" s="8" t="s">
        <v>43</v>
      </c>
      <c r="I84" s="1">
        <v>8</v>
      </c>
      <c r="J84" s="1">
        <v>13</v>
      </c>
      <c r="K84" s="1">
        <v>10</v>
      </c>
      <c r="L84" s="1">
        <v>10</v>
      </c>
      <c r="M84" s="21"/>
      <c r="N84" s="360">
        <v>0.1</v>
      </c>
      <c r="O84" s="367">
        <v>0.34</v>
      </c>
      <c r="P84" s="367">
        <v>1.42</v>
      </c>
      <c r="Q84" s="479">
        <v>0.01</v>
      </c>
      <c r="R84" s="478">
        <v>6.0000000000000001E-3</v>
      </c>
      <c r="S84" s="367">
        <v>0.105</v>
      </c>
      <c r="T84" s="367">
        <v>1.82</v>
      </c>
      <c r="U84" s="367">
        <v>0.79</v>
      </c>
      <c r="V84" s="10">
        <v>5.0000000000000001E-3</v>
      </c>
      <c r="W84" s="10">
        <v>8.0000000000000002E-3</v>
      </c>
      <c r="X84" s="367">
        <v>4.0000000000000001E-3</v>
      </c>
      <c r="Y84" s="367">
        <v>4.0000000000000001E-3</v>
      </c>
      <c r="Z84" s="367">
        <v>1.7999999999999999E-2</v>
      </c>
      <c r="AA84" s="478">
        <v>2.5000000000000001E-2</v>
      </c>
      <c r="AB84" s="10">
        <v>4.0000000000000001E-3</v>
      </c>
      <c r="AC84" s="479">
        <v>0.01</v>
      </c>
      <c r="AD84" s="10" t="s">
        <v>46</v>
      </c>
      <c r="AE84" s="10">
        <v>2E-3</v>
      </c>
      <c r="AF84" s="10">
        <v>1E-3</v>
      </c>
      <c r="AG84" s="10" t="s">
        <v>47</v>
      </c>
      <c r="AH84" s="367">
        <v>4.0000000000000002E-4</v>
      </c>
      <c r="AI84" s="10">
        <v>4.0000000000000001E-3</v>
      </c>
      <c r="AJ84" s="10">
        <v>5.0000000000000001E-4</v>
      </c>
      <c r="AK84" s="10">
        <v>1.2999999999999999E-3</v>
      </c>
      <c r="AL84" s="367">
        <v>2.1999999999999999E-2</v>
      </c>
      <c r="AM84" s="381">
        <v>3.0000000000000001E-3</v>
      </c>
      <c r="AN84" s="21" t="s">
        <v>90</v>
      </c>
      <c r="AO84" s="74">
        <f>N84+P84/6+Z84/15+T84/15+S84/5+U84/5+X84/5</f>
        <v>0.63900000000000001</v>
      </c>
      <c r="AP84" s="13">
        <f>N84+O84/30+P84/20+Z84/20+T84/60+S84/20+U84/15+X84/10+5*AH84</f>
        <v>0.27388333333333337</v>
      </c>
      <c r="AQ84" s="81">
        <f>N84+(0.75+0.25*TANH(20*(N84-0.12)))*(O84/24+P84/6+Z84/15+T84/20+S84/5+U84/5+Y84/5+X84/5)</f>
        <v>0.44298651459943905</v>
      </c>
      <c r="AR84" s="85">
        <f>N84+P84/10+U84/10+S84/20+Z84/20+T84/40</f>
        <v>0.37264999999999998</v>
      </c>
    </row>
    <row r="85" spans="2:44" x14ac:dyDescent="0.25">
      <c r="B85" s="41"/>
      <c r="C85" s="1" t="s">
        <v>63</v>
      </c>
      <c r="D85" s="11">
        <v>5210</v>
      </c>
      <c r="E85" s="10" t="s">
        <v>41</v>
      </c>
      <c r="F85" s="11" t="s">
        <v>67</v>
      </c>
      <c r="G85" s="1" t="s">
        <v>66</v>
      </c>
      <c r="H85" s="8" t="s">
        <v>43</v>
      </c>
      <c r="I85" s="1">
        <v>7</v>
      </c>
      <c r="J85" s="1">
        <v>22</v>
      </c>
      <c r="K85" s="1">
        <v>15</v>
      </c>
      <c r="L85" s="1">
        <v>15</v>
      </c>
      <c r="M85" s="21"/>
      <c r="N85" s="360">
        <v>9.8000000000000004E-2</v>
      </c>
      <c r="O85" s="367">
        <v>0.35</v>
      </c>
      <c r="P85" s="367">
        <v>1.45</v>
      </c>
      <c r="Q85" s="478">
        <v>8.9999999999999993E-3</v>
      </c>
      <c r="R85" s="478">
        <v>6.0000000000000001E-3</v>
      </c>
      <c r="S85" s="367">
        <v>9.2999999999999999E-2</v>
      </c>
      <c r="T85" s="367">
        <v>1.97</v>
      </c>
      <c r="U85" s="367">
        <v>0.83</v>
      </c>
      <c r="V85" s="10">
        <v>5.0000000000000001E-3</v>
      </c>
      <c r="W85" s="10">
        <v>8.0000000000000002E-3</v>
      </c>
      <c r="X85" s="367">
        <v>4.0000000000000001E-3</v>
      </c>
      <c r="Y85" s="367">
        <v>4.0000000000000001E-3</v>
      </c>
      <c r="Z85" s="367">
        <v>1.9E-2</v>
      </c>
      <c r="AA85" s="478">
        <v>2.1999999999999999E-2</v>
      </c>
      <c r="AB85" s="10">
        <v>4.0000000000000001E-3</v>
      </c>
      <c r="AC85" s="478">
        <v>1.0999999999999999E-2</v>
      </c>
      <c r="AD85" s="10" t="s">
        <v>46</v>
      </c>
      <c r="AE85" s="10">
        <v>2E-3</v>
      </c>
      <c r="AF85" s="10">
        <v>2E-3</v>
      </c>
      <c r="AG85" s="10" t="s">
        <v>47</v>
      </c>
      <c r="AH85" s="367">
        <v>2.9999999999999997E-4</v>
      </c>
      <c r="AI85" s="10">
        <v>4.0000000000000001E-3</v>
      </c>
      <c r="AJ85" s="10">
        <v>5.0000000000000001E-4</v>
      </c>
      <c r="AK85" s="10">
        <v>1.1000000000000001E-3</v>
      </c>
      <c r="AL85" s="367">
        <v>1.6E-2</v>
      </c>
      <c r="AM85" s="381">
        <v>3.0000000000000001E-3</v>
      </c>
      <c r="AN85" s="21" t="s">
        <v>90</v>
      </c>
      <c r="AO85" s="74">
        <f>N85+P85/6+Z85/15+T85/15+S85/5+U85/5+X85/5</f>
        <v>0.65766666666666673</v>
      </c>
      <c r="AP85" s="13">
        <f>N85+O85/30+P85/20+Z85/20+T85/60+S85/20+U85/15+X85/10+5*AH85</f>
        <v>0.27783333333333332</v>
      </c>
      <c r="AQ85" s="81">
        <f>N85+(0.75+0.25*TANH(20*(N85-0.12)))*(O85/24+P85/6+Z85/15+T85/20+S85/5+U85/5+Y85/5+X85/5)</f>
        <v>0.44859127234302476</v>
      </c>
      <c r="AR85" s="85">
        <f>N85+P85/10+U85/10+S85/20+Z85/20+T85/40</f>
        <v>0.38084999999999997</v>
      </c>
    </row>
    <row r="86" spans="2:44" x14ac:dyDescent="0.25">
      <c r="B86" s="41"/>
      <c r="C86" s="1" t="s">
        <v>63</v>
      </c>
      <c r="D86" s="11">
        <v>5338</v>
      </c>
      <c r="E86" s="10" t="s">
        <v>42</v>
      </c>
      <c r="F86" s="11" t="s">
        <v>68</v>
      </c>
      <c r="G86" s="1" t="s">
        <v>66</v>
      </c>
      <c r="H86" s="8" t="s">
        <v>43</v>
      </c>
      <c r="I86" s="1">
        <v>8</v>
      </c>
      <c r="J86" s="1">
        <v>13</v>
      </c>
      <c r="K86" s="1">
        <v>10</v>
      </c>
      <c r="L86" s="1">
        <v>10</v>
      </c>
      <c r="M86" s="21"/>
      <c r="N86" s="360">
        <v>0.13</v>
      </c>
      <c r="O86" s="367">
        <v>0.33</v>
      </c>
      <c r="P86" s="367">
        <v>1.48</v>
      </c>
      <c r="Q86" s="478">
        <v>8.9999999999999993E-3</v>
      </c>
      <c r="R86" s="478">
        <v>6.0000000000000001E-3</v>
      </c>
      <c r="S86" s="367">
        <v>7.9000000000000001E-2</v>
      </c>
      <c r="T86" s="370">
        <v>1.8</v>
      </c>
      <c r="U86" s="367">
        <v>0.89</v>
      </c>
      <c r="V86" s="10">
        <v>5.0000000000000001E-3</v>
      </c>
      <c r="W86" s="10">
        <v>8.0000000000000002E-3</v>
      </c>
      <c r="X86" s="367">
        <v>1.2E-2</v>
      </c>
      <c r="Y86" s="367">
        <v>8.0000000000000002E-3</v>
      </c>
      <c r="Z86" s="367">
        <v>1.7999999999999999E-2</v>
      </c>
      <c r="AA86" s="478">
        <v>2.7E-2</v>
      </c>
      <c r="AB86" s="10">
        <v>4.0000000000000001E-3</v>
      </c>
      <c r="AC86" s="478">
        <v>7.0000000000000001E-3</v>
      </c>
      <c r="AD86" s="10" t="s">
        <v>46</v>
      </c>
      <c r="AE86" s="10">
        <v>2E-3</v>
      </c>
      <c r="AF86" s="10">
        <v>1E-3</v>
      </c>
      <c r="AG86" s="10" t="s">
        <v>47</v>
      </c>
      <c r="AH86" s="367">
        <v>4.0000000000000002E-4</v>
      </c>
      <c r="AI86" s="10">
        <v>4.0000000000000001E-3</v>
      </c>
      <c r="AJ86" s="10">
        <v>5.0000000000000001E-4</v>
      </c>
      <c r="AK86" s="10">
        <v>1.1999999999999999E-3</v>
      </c>
      <c r="AL86" s="372">
        <v>0.02</v>
      </c>
      <c r="AM86" s="381">
        <v>3.0000000000000001E-3</v>
      </c>
      <c r="AN86" s="21" t="s">
        <v>90</v>
      </c>
      <c r="AO86" s="74">
        <f>N86+P86/6+Z86/15+T86/15+S86/5+U86/5+X86/5</f>
        <v>0.69406666666666661</v>
      </c>
      <c r="AP86" s="13">
        <f>N86+O86/30+P86/20+Z86/20+T86/60+S86/20+U86/15+X86/10+5*AH86</f>
        <v>0.31238333333333335</v>
      </c>
      <c r="AQ86" s="81">
        <f>N86+(0.75+0.25*TANH(20*(N86-0.12)))*(O86/24+P86/6+Z86/15+T86/20+S86/5+U86/5+Y86/5+X86/5)</f>
        <v>0.56917282263005819</v>
      </c>
      <c r="AR86" s="85">
        <f>N86+P86/10+U86/10+S86/20+Z86/20+T86/40</f>
        <v>0.41685</v>
      </c>
    </row>
    <row r="87" spans="2:44" x14ac:dyDescent="0.25">
      <c r="B87" s="41"/>
      <c r="C87" s="1" t="s">
        <v>63</v>
      </c>
      <c r="D87" s="11">
        <v>5339</v>
      </c>
      <c r="E87" s="10" t="s">
        <v>42</v>
      </c>
      <c r="F87" s="11" t="s">
        <v>68</v>
      </c>
      <c r="G87" s="1" t="s">
        <v>66</v>
      </c>
      <c r="H87" s="8" t="s">
        <v>43</v>
      </c>
      <c r="I87" s="1">
        <v>7</v>
      </c>
      <c r="J87" s="1">
        <v>22</v>
      </c>
      <c r="K87" s="1">
        <v>15</v>
      </c>
      <c r="L87" s="1">
        <v>15</v>
      </c>
      <c r="M87" s="21"/>
      <c r="N87" s="360">
        <v>0.12</v>
      </c>
      <c r="O87" s="367">
        <v>0.34</v>
      </c>
      <c r="P87" s="367">
        <v>1.54</v>
      </c>
      <c r="Q87" s="478">
        <v>8.9999999999999993E-3</v>
      </c>
      <c r="R87" s="478">
        <v>6.0000000000000001E-3</v>
      </c>
      <c r="S87" s="367">
        <v>6.9000000000000006E-2</v>
      </c>
      <c r="T87" s="367">
        <v>1.98</v>
      </c>
      <c r="U87" s="367">
        <v>0.93</v>
      </c>
      <c r="V87" s="10">
        <v>5.0000000000000001E-3</v>
      </c>
      <c r="W87" s="10">
        <v>8.0000000000000002E-3</v>
      </c>
      <c r="X87" s="372">
        <v>0.01</v>
      </c>
      <c r="Y87" s="367">
        <v>8.0000000000000002E-3</v>
      </c>
      <c r="Z87" s="372">
        <v>0.02</v>
      </c>
      <c r="AA87" s="478">
        <v>2.3E-2</v>
      </c>
      <c r="AB87" s="10">
        <v>5.0000000000000001E-3</v>
      </c>
      <c r="AC87" s="478">
        <v>8.0000000000000002E-3</v>
      </c>
      <c r="AD87" s="10" t="s">
        <v>46</v>
      </c>
      <c r="AE87" s="10">
        <v>2E-3</v>
      </c>
      <c r="AF87" s="10">
        <v>1E-3</v>
      </c>
      <c r="AG87" s="10" t="s">
        <v>47</v>
      </c>
      <c r="AH87" s="367">
        <v>2.9999999999999997E-4</v>
      </c>
      <c r="AI87" s="10">
        <v>5.0000000000000001E-3</v>
      </c>
      <c r="AJ87" s="10">
        <v>6.9999999999999999E-4</v>
      </c>
      <c r="AK87" s="10">
        <v>1.5E-3</v>
      </c>
      <c r="AL87" s="367">
        <v>1.6E-2</v>
      </c>
      <c r="AM87" s="381">
        <v>3.0000000000000001E-3</v>
      </c>
      <c r="AN87" s="21" t="s">
        <v>90</v>
      </c>
      <c r="AO87" s="74">
        <f>N87+P87/6+Z87/15+T87/15+S87/5+U87/5+X87/5</f>
        <v>0.71179999999999999</v>
      </c>
      <c r="AP87" s="13">
        <f>N87+O87/30+P87/20+Z87/20+T87/60+S87/20+U87/15+X87/10+5*AH87</f>
        <v>0.31028333333333336</v>
      </c>
      <c r="AQ87" s="81">
        <f>N87+(0.75+0.25*TANH(20*(N87-0.12)))*(O87/24+P87/6+Z87/15+T87/20+S87/5+U87/5+Y87/5+X87/5)</f>
        <v>0.550925</v>
      </c>
      <c r="AR87" s="85">
        <f>N87+P87/10+U87/10+S87/20+Z87/20+T87/40</f>
        <v>0.42094999999999999</v>
      </c>
    </row>
    <row r="88" spans="2:44" ht="6.75" customHeight="1" x14ac:dyDescent="0.25">
      <c r="B88" s="41"/>
      <c r="M88" s="21"/>
      <c r="N88" s="361"/>
      <c r="AM88" s="378"/>
      <c r="AN88" s="21"/>
      <c r="AO88" s="74"/>
      <c r="AP88" s="13"/>
      <c r="AQ88" s="81"/>
      <c r="AR88" s="85"/>
    </row>
    <row r="89" spans="2:44" x14ac:dyDescent="0.25">
      <c r="B89" s="41"/>
      <c r="C89" s="1" t="s">
        <v>63</v>
      </c>
      <c r="D89" s="11">
        <v>5209</v>
      </c>
      <c r="E89" s="10" t="s">
        <v>41</v>
      </c>
      <c r="F89" s="11" t="s">
        <v>67</v>
      </c>
      <c r="G89" s="1" t="s">
        <v>66</v>
      </c>
      <c r="H89" s="8" t="s">
        <v>43</v>
      </c>
      <c r="I89" s="1">
        <v>8</v>
      </c>
      <c r="J89" s="1">
        <v>13</v>
      </c>
      <c r="K89" s="1">
        <v>10</v>
      </c>
      <c r="L89" s="1">
        <v>10</v>
      </c>
      <c r="M89" s="21"/>
      <c r="N89" s="360">
        <v>0.11</v>
      </c>
      <c r="O89" s="367">
        <v>0.37</v>
      </c>
      <c r="P89" s="367">
        <v>1.48</v>
      </c>
      <c r="Q89" s="479">
        <v>0.01</v>
      </c>
      <c r="R89" s="479">
        <v>2E-3</v>
      </c>
      <c r="S89" s="367">
        <v>6.2E-2</v>
      </c>
      <c r="T89" s="370">
        <v>2.31</v>
      </c>
      <c r="U89" s="367">
        <v>0.96</v>
      </c>
      <c r="V89" s="10">
        <v>5.0000000000000001E-3</v>
      </c>
      <c r="W89" s="10">
        <v>6.0000000000000001E-3</v>
      </c>
      <c r="X89" s="367">
        <v>3.0000000000000001E-3</v>
      </c>
      <c r="Y89" s="367">
        <v>5.0000000000000001E-3</v>
      </c>
      <c r="Z89" s="367">
        <v>2.1999999999999999E-2</v>
      </c>
      <c r="AA89" s="478">
        <v>2.3E-2</v>
      </c>
      <c r="AB89" s="10">
        <v>5.0000000000000001E-3</v>
      </c>
      <c r="AC89" s="478">
        <v>8.9999999999999993E-3</v>
      </c>
      <c r="AD89" s="10" t="s">
        <v>46</v>
      </c>
      <c r="AE89" s="10">
        <v>2E-3</v>
      </c>
      <c r="AF89" s="10">
        <v>2E-3</v>
      </c>
      <c r="AG89" s="10" t="s">
        <v>47</v>
      </c>
      <c r="AH89" s="367">
        <v>2.0000000000000001E-4</v>
      </c>
      <c r="AI89" s="10">
        <v>5.0000000000000001E-3</v>
      </c>
      <c r="AJ89" s="10">
        <v>4.0000000000000002E-4</v>
      </c>
      <c r="AK89" s="10">
        <v>1.4E-3</v>
      </c>
      <c r="AL89" s="382"/>
      <c r="AM89" s="381">
        <v>3.0000000000000001E-3</v>
      </c>
      <c r="AN89" s="21" t="s">
        <v>91</v>
      </c>
      <c r="AO89" s="74">
        <f>N89+P89/6+Z89/15+T89/15+S89/5+U89/5+X89/5</f>
        <v>0.71713333333333329</v>
      </c>
      <c r="AP89" s="13">
        <f>N89+O89/30+P89/20+Z89/20+T89/60+S89/20+U89/15+X89/10+5*AH89</f>
        <v>0.30433333333333334</v>
      </c>
      <c r="AQ89" s="81">
        <f>N89+(0.75+0.25*TANH(20*(N89-0.12)))*(O89/24+P89/6+Z89/15+T89/20+S89/5+U89/5+Y89/5+X89/5)</f>
        <v>0.51991889222560506</v>
      </c>
      <c r="AR89" s="85">
        <f>N89+P89/10+U89/10+S89/20+Z89/20+T89/40</f>
        <v>0.41594999999999999</v>
      </c>
    </row>
    <row r="90" spans="2:44" x14ac:dyDescent="0.25">
      <c r="B90" s="41"/>
      <c r="C90" s="1" t="s">
        <v>63</v>
      </c>
      <c r="D90" s="11">
        <v>5210</v>
      </c>
      <c r="E90" s="10" t="s">
        <v>41</v>
      </c>
      <c r="F90" s="11" t="s">
        <v>67</v>
      </c>
      <c r="G90" s="1" t="s">
        <v>66</v>
      </c>
      <c r="H90" s="8" t="s">
        <v>43</v>
      </c>
      <c r="I90" s="1">
        <v>7</v>
      </c>
      <c r="J90" s="1">
        <v>22</v>
      </c>
      <c r="K90" s="1">
        <v>15</v>
      </c>
      <c r="L90" s="1">
        <v>15</v>
      </c>
      <c r="M90" s="21"/>
      <c r="N90" s="360">
        <v>0.14000000000000001</v>
      </c>
      <c r="O90" s="367">
        <v>0.37</v>
      </c>
      <c r="P90" s="367">
        <v>1.48</v>
      </c>
      <c r="Q90" s="479">
        <v>0.01</v>
      </c>
      <c r="R90" s="479">
        <v>1E-3</v>
      </c>
      <c r="S90" s="367">
        <v>6.4000000000000001E-2</v>
      </c>
      <c r="T90" s="370">
        <v>2.2599999999999998</v>
      </c>
      <c r="U90" s="367">
        <v>0.95</v>
      </c>
      <c r="V90" s="10">
        <v>5.0000000000000001E-3</v>
      </c>
      <c r="W90" s="10">
        <v>7.0000000000000001E-3</v>
      </c>
      <c r="X90" s="367">
        <v>3.0000000000000001E-3</v>
      </c>
      <c r="Y90" s="367">
        <v>5.0000000000000001E-3</v>
      </c>
      <c r="Z90" s="367">
        <v>2.1000000000000001E-2</v>
      </c>
      <c r="AA90" s="478">
        <v>1.9E-2</v>
      </c>
      <c r="AB90" s="10">
        <v>5.0000000000000001E-3</v>
      </c>
      <c r="AC90" s="478">
        <v>8.9999999999999993E-3</v>
      </c>
      <c r="AD90" s="10" t="s">
        <v>46</v>
      </c>
      <c r="AE90" s="10">
        <v>2E-3</v>
      </c>
      <c r="AF90" s="10">
        <v>2E-3</v>
      </c>
      <c r="AG90" s="10" t="s">
        <v>47</v>
      </c>
      <c r="AH90" s="367">
        <v>2.0000000000000001E-4</v>
      </c>
      <c r="AI90" s="10">
        <v>5.0000000000000001E-3</v>
      </c>
      <c r="AJ90" s="10">
        <v>5.0000000000000001E-4</v>
      </c>
      <c r="AK90" s="10">
        <v>1.4E-3</v>
      </c>
      <c r="AL90" s="382"/>
      <c r="AM90" s="381">
        <v>3.0000000000000001E-3</v>
      </c>
      <c r="AN90" s="21" t="s">
        <v>91</v>
      </c>
      <c r="AO90" s="74">
        <f>N90+P90/6+Z90/15+T90/15+S90/5+U90/5+X90/5</f>
        <v>0.74213333333333342</v>
      </c>
      <c r="AP90" s="13">
        <f>N90+O90/30+P90/20+Z90/20+T90/60+S90/20+U90/15+X90/10+5*AH90</f>
        <v>0.33288333333333336</v>
      </c>
      <c r="AQ90" s="81">
        <f>N90+(0.75+0.25*TANH(20*(N90-0.12)))*(O90/24+P90/6+Z90/15+T90/20+S90/5+U90/5+Y90/5+X90/5)</f>
        <v>0.63083900492283906</v>
      </c>
      <c r="AR90" s="85">
        <f>N90+P90/10+U90/10+S90/20+Z90/20+T90/40</f>
        <v>0.44374999999999998</v>
      </c>
    </row>
    <row r="91" spans="2:44" x14ac:dyDescent="0.25">
      <c r="B91" s="41"/>
      <c r="C91" s="1" t="s">
        <v>63</v>
      </c>
      <c r="D91" s="11">
        <v>5338</v>
      </c>
      <c r="E91" s="10" t="s">
        <v>42</v>
      </c>
      <c r="F91" s="11" t="s">
        <v>68</v>
      </c>
      <c r="G91" s="1" t="s">
        <v>66</v>
      </c>
      <c r="H91" s="8" t="s">
        <v>43</v>
      </c>
      <c r="I91" s="1">
        <v>8</v>
      </c>
      <c r="J91" s="1">
        <v>13</v>
      </c>
      <c r="K91" s="1">
        <v>10</v>
      </c>
      <c r="L91" s="1">
        <v>10</v>
      </c>
      <c r="M91" s="21"/>
      <c r="N91" s="360">
        <v>0.12</v>
      </c>
      <c r="O91" s="367">
        <v>0.37</v>
      </c>
      <c r="P91" s="367">
        <v>1.52</v>
      </c>
      <c r="Q91" s="479">
        <v>0.01</v>
      </c>
      <c r="R91" s="479">
        <v>6.0000000000000001E-3</v>
      </c>
      <c r="S91" s="367">
        <v>5.3999999999999999E-2</v>
      </c>
      <c r="T91" s="370">
        <v>2.16</v>
      </c>
      <c r="U91" s="367">
        <v>0.99</v>
      </c>
      <c r="V91" s="10">
        <v>5.0000000000000001E-3</v>
      </c>
      <c r="W91" s="10">
        <v>7.0000000000000001E-3</v>
      </c>
      <c r="X91" s="367">
        <v>7.0000000000000001E-3</v>
      </c>
      <c r="Y91" s="367">
        <v>7.0000000000000001E-3</v>
      </c>
      <c r="Z91" s="367">
        <v>2.1999999999999999E-2</v>
      </c>
      <c r="AA91" s="478">
        <v>2.3E-2</v>
      </c>
      <c r="AB91" s="10">
        <v>5.0000000000000001E-3</v>
      </c>
      <c r="AC91" s="478">
        <v>8.0000000000000002E-3</v>
      </c>
      <c r="AD91" s="10" t="s">
        <v>46</v>
      </c>
      <c r="AE91" s="10">
        <v>2E-3</v>
      </c>
      <c r="AF91" s="10">
        <v>2E-3</v>
      </c>
      <c r="AG91" s="10" t="s">
        <v>47</v>
      </c>
      <c r="AH91" s="367">
        <v>2.0000000000000001E-4</v>
      </c>
      <c r="AI91" s="10">
        <v>5.0000000000000001E-3</v>
      </c>
      <c r="AJ91" s="10">
        <v>5.0000000000000001E-4</v>
      </c>
      <c r="AK91" s="10">
        <v>1.2999999999999999E-3</v>
      </c>
      <c r="AL91" s="382"/>
      <c r="AM91" s="381">
        <v>3.0000000000000001E-3</v>
      </c>
      <c r="AN91" s="21" t="s">
        <v>91</v>
      </c>
      <c r="AO91" s="74">
        <f>N91+P91/6+Z91/15+T91/15+S91/5+U91/5+X91/5</f>
        <v>0.72899999999999998</v>
      </c>
      <c r="AP91" s="13">
        <f>N91+O91/30+P91/20+Z91/20+T91/60+S91/20+U91/15+X91/10+5*AH91</f>
        <v>0.3158333333333333</v>
      </c>
      <c r="AQ91" s="81">
        <f>N91+(0.75+0.25*TANH(20*(N91-0.12)))*(O91/24+P91/6+Z91/15+T91/20+S91/5+U91/5+Y91/5+X91/5)</f>
        <v>0.56236249999999999</v>
      </c>
      <c r="AR91" s="85">
        <f>N91+P91/10+U91/10+S91/20+Z91/20+T91/40</f>
        <v>0.42879999999999996</v>
      </c>
    </row>
    <row r="92" spans="2:44" ht="15.75" thickBot="1" x14ac:dyDescent="0.3">
      <c r="B92" s="60"/>
      <c r="C92" s="61" t="s">
        <v>63</v>
      </c>
      <c r="D92" s="62">
        <v>5339</v>
      </c>
      <c r="E92" s="63" t="s">
        <v>42</v>
      </c>
      <c r="F92" s="62" t="s">
        <v>68</v>
      </c>
      <c r="G92" s="61" t="s">
        <v>66</v>
      </c>
      <c r="H92" s="64" t="s">
        <v>43</v>
      </c>
      <c r="I92" s="61">
        <v>7</v>
      </c>
      <c r="J92" s="61">
        <v>22</v>
      </c>
      <c r="K92" s="61">
        <v>15</v>
      </c>
      <c r="L92" s="61">
        <v>15</v>
      </c>
      <c r="M92" s="23"/>
      <c r="N92" s="362">
        <v>0.12</v>
      </c>
      <c r="O92" s="368">
        <v>0.38</v>
      </c>
      <c r="P92" s="368">
        <v>1.59</v>
      </c>
      <c r="Q92" s="480">
        <v>0.01</v>
      </c>
      <c r="R92" s="480">
        <v>7.0000000000000001E-3</v>
      </c>
      <c r="S92" s="368">
        <v>4.9000000000000002E-2</v>
      </c>
      <c r="T92" s="371">
        <v>2.34</v>
      </c>
      <c r="U92" s="368">
        <v>1.02</v>
      </c>
      <c r="V92" s="63">
        <v>5.0000000000000001E-3</v>
      </c>
      <c r="W92" s="63">
        <v>7.0000000000000001E-3</v>
      </c>
      <c r="X92" s="368">
        <v>6.0000000000000001E-3</v>
      </c>
      <c r="Y92" s="368">
        <v>6.0000000000000001E-3</v>
      </c>
      <c r="Z92" s="368">
        <v>2.1999999999999999E-2</v>
      </c>
      <c r="AA92" s="481">
        <v>1.9E-2</v>
      </c>
      <c r="AB92" s="63">
        <v>5.0000000000000001E-3</v>
      </c>
      <c r="AC92" s="481">
        <v>7.0000000000000001E-3</v>
      </c>
      <c r="AD92" s="63" t="s">
        <v>46</v>
      </c>
      <c r="AE92" s="63">
        <v>2E-3</v>
      </c>
      <c r="AF92" s="63">
        <v>2E-3</v>
      </c>
      <c r="AG92" s="63" t="s">
        <v>47</v>
      </c>
      <c r="AH92" s="368">
        <v>2.0000000000000001E-4</v>
      </c>
      <c r="AI92" s="63">
        <v>5.0000000000000001E-3</v>
      </c>
      <c r="AJ92" s="63">
        <v>4.0000000000000002E-4</v>
      </c>
      <c r="AK92" s="63">
        <v>1.2999999999999999E-3</v>
      </c>
      <c r="AL92" s="383"/>
      <c r="AM92" s="384">
        <v>3.0000000000000001E-3</v>
      </c>
      <c r="AN92" s="23" t="s">
        <v>91</v>
      </c>
      <c r="AO92" s="76">
        <f>N92+P92/6+Z92/15+T92/15+S92/5+U92/5+X92/5</f>
        <v>0.75746666666666662</v>
      </c>
      <c r="AP92" s="67">
        <f>N92+O92/30+P92/20+Z92/20+T92/60+S92/20+U92/15+X92/10+5*AH92</f>
        <v>0.32431666666666664</v>
      </c>
      <c r="AQ92" s="83">
        <f>N92+(0.75+0.25*TANH(20*(N92-0.12)))*(O92/24+P92/6+Z92/15+T92/20+S92/5+U92/5+Y92/5+X92/5)</f>
        <v>0.58162499999999995</v>
      </c>
      <c r="AR92" s="86">
        <f>N92+P92/10+U92/10+S92/20+Z92/20+T92/40</f>
        <v>0.44305</v>
      </c>
    </row>
    <row r="93" spans="2:44" x14ac:dyDescent="0.25">
      <c r="AO93" s="12"/>
    </row>
    <row r="94" spans="2:44" x14ac:dyDescent="0.25">
      <c r="AO94" s="12"/>
    </row>
    <row r="95" spans="2:44" x14ac:dyDescent="0.25">
      <c r="AO95" s="12"/>
    </row>
    <row r="96" spans="2:44" x14ac:dyDescent="0.25">
      <c r="AO96" s="12"/>
    </row>
    <row r="97" spans="41:41" x14ac:dyDescent="0.25">
      <c r="AO97" s="12"/>
    </row>
    <row r="98" spans="41:41" x14ac:dyDescent="0.25">
      <c r="AO98" s="12"/>
    </row>
    <row r="99" spans="41:41" x14ac:dyDescent="0.25">
      <c r="AO99" s="12"/>
    </row>
    <row r="100" spans="41:41" x14ac:dyDescent="0.25">
      <c r="AO100" s="12"/>
    </row>
    <row r="101" spans="41:41" x14ac:dyDescent="0.25">
      <c r="AO101" s="12"/>
    </row>
    <row r="102" spans="41:41" x14ac:dyDescent="0.25">
      <c r="AO102" s="12"/>
    </row>
    <row r="103" spans="41:41" x14ac:dyDescent="0.25">
      <c r="AO103" s="12"/>
    </row>
    <row r="104" spans="41:41" x14ac:dyDescent="0.25">
      <c r="AO104" s="12"/>
    </row>
    <row r="105" spans="41:41" x14ac:dyDescent="0.25">
      <c r="AO105" s="12"/>
    </row>
    <row r="106" spans="41:41" x14ac:dyDescent="0.25">
      <c r="AO106" s="12"/>
    </row>
    <row r="107" spans="41:41" x14ac:dyDescent="0.25">
      <c r="AO107" s="12"/>
    </row>
    <row r="108" spans="41:41" x14ac:dyDescent="0.25">
      <c r="AO108" s="12"/>
    </row>
  </sheetData>
  <mergeCells count="12">
    <mergeCell ref="AN41:AN46"/>
    <mergeCell ref="AN48:AN53"/>
    <mergeCell ref="AN3:AN4"/>
    <mergeCell ref="AO3:AR3"/>
    <mergeCell ref="B3:B4"/>
    <mergeCell ref="AN18:AN23"/>
    <mergeCell ref="N3:AM3"/>
    <mergeCell ref="D3:L3"/>
    <mergeCell ref="C3:C4"/>
    <mergeCell ref="M3:M4"/>
    <mergeCell ref="AN13:AN16"/>
    <mergeCell ref="AN27:AN30"/>
  </mergeCells>
  <pageMargins left="0.7" right="0.7" top="0.75" bottom="0.75" header="0.3" footer="0.3"/>
  <pageSetup paperSize="9" scale="64" fitToWidth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I40"/>
  <sheetViews>
    <sheetView topLeftCell="A3" zoomScale="90" zoomScaleNormal="90" workbookViewId="0">
      <pane ySplit="870" activePane="bottomLeft"/>
      <selection activeCell="AF4" sqref="AF1:AF1048576"/>
      <selection pane="bottomLeft" activeCell="C26" sqref="C26"/>
    </sheetView>
  </sheetViews>
  <sheetFormatPr defaultRowHeight="15" x14ac:dyDescent="0.25"/>
  <cols>
    <col min="1" max="1" width="3.140625" customWidth="1"/>
    <col min="2" max="2" width="20" style="1" customWidth="1"/>
    <col min="3" max="3" width="10.42578125" style="1" customWidth="1"/>
    <col min="4" max="4" width="9.140625" style="1" customWidth="1"/>
    <col min="5" max="5" width="1" customWidth="1"/>
    <col min="6" max="9" width="6.7109375" customWidth="1"/>
    <col min="10" max="10" width="8.140625" customWidth="1"/>
    <col min="11" max="11" width="6.7109375" customWidth="1"/>
    <col min="12" max="12" width="8.140625" customWidth="1"/>
    <col min="13" max="25" width="6.7109375" customWidth="1"/>
    <col min="26" max="26" width="9.42578125" customWidth="1"/>
    <col min="27" max="27" width="8" customWidth="1"/>
    <col min="28" max="28" width="7.7109375" customWidth="1"/>
    <col min="29" max="29" width="7.85546875" customWidth="1"/>
    <col min="30" max="31" width="6.7109375" customWidth="1"/>
    <col min="32" max="32" width="9.7109375" customWidth="1"/>
    <col min="33" max="33" width="9.140625" style="1"/>
  </cols>
  <sheetData>
    <row r="2" spans="2:35" ht="15.75" thickBot="1" x14ac:dyDescent="0.3"/>
    <row r="3" spans="2:35" ht="15" customHeight="1" x14ac:dyDescent="0.25">
      <c r="B3" s="396"/>
      <c r="C3" s="394"/>
      <c r="D3" s="395"/>
      <c r="E3" s="419"/>
      <c r="F3" s="396" t="s">
        <v>30</v>
      </c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  <c r="AA3" s="394"/>
      <c r="AB3" s="394"/>
      <c r="AC3" s="394"/>
      <c r="AD3" s="394"/>
      <c r="AE3" s="395"/>
      <c r="AF3" s="389" t="s">
        <v>106</v>
      </c>
      <c r="AG3" s="389"/>
      <c r="AH3" s="389"/>
      <c r="AI3" s="390"/>
    </row>
    <row r="4" spans="2:35" ht="19.5" thickBot="1" x14ac:dyDescent="0.4">
      <c r="B4" s="5" t="s">
        <v>143</v>
      </c>
      <c r="C4" s="7" t="s">
        <v>28</v>
      </c>
      <c r="D4" s="105" t="s">
        <v>31</v>
      </c>
      <c r="E4" s="420"/>
      <c r="F4" s="111" t="s">
        <v>111</v>
      </c>
      <c r="G4" s="2" t="s">
        <v>1</v>
      </c>
      <c r="H4" s="2" t="s">
        <v>2</v>
      </c>
      <c r="I4" s="2" t="s">
        <v>3</v>
      </c>
      <c r="J4" s="2" t="s">
        <v>144</v>
      </c>
      <c r="K4" s="2" t="s">
        <v>5</v>
      </c>
      <c r="L4" s="2" t="s">
        <v>6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11</v>
      </c>
      <c r="R4" s="2" t="s">
        <v>12</v>
      </c>
      <c r="S4" s="2" t="s">
        <v>13</v>
      </c>
      <c r="T4" s="2" t="s">
        <v>14</v>
      </c>
      <c r="U4" s="2" t="s">
        <v>15</v>
      </c>
      <c r="V4" s="2" t="s">
        <v>16</v>
      </c>
      <c r="W4" s="2" t="s">
        <v>17</v>
      </c>
      <c r="X4" s="2" t="s">
        <v>18</v>
      </c>
      <c r="Y4" s="2" t="s">
        <v>19</v>
      </c>
      <c r="Z4" s="2" t="s">
        <v>20</v>
      </c>
      <c r="AA4" s="2" t="s">
        <v>21</v>
      </c>
      <c r="AB4" s="2" t="s">
        <v>22</v>
      </c>
      <c r="AC4" s="2" t="s">
        <v>23</v>
      </c>
      <c r="AD4" s="2" t="s">
        <v>24</v>
      </c>
      <c r="AE4" s="3" t="s">
        <v>25</v>
      </c>
      <c r="AF4" s="109" t="s">
        <v>104</v>
      </c>
      <c r="AG4" s="70" t="s">
        <v>105</v>
      </c>
      <c r="AH4" s="68" t="s">
        <v>107</v>
      </c>
      <c r="AI4" s="87" t="s">
        <v>109</v>
      </c>
    </row>
    <row r="5" spans="2:35" ht="5.25" customHeight="1" x14ac:dyDescent="0.25">
      <c r="B5" s="36"/>
      <c r="C5" s="37"/>
      <c r="D5" s="106"/>
      <c r="E5" s="39"/>
      <c r="F5" s="112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40"/>
      <c r="AF5" s="110"/>
      <c r="AG5" s="72"/>
      <c r="AH5" s="84"/>
      <c r="AI5" s="73"/>
    </row>
    <row r="6" spans="2:35" x14ac:dyDescent="0.25">
      <c r="B6" s="116" t="s">
        <v>41</v>
      </c>
      <c r="C6" s="115" t="s">
        <v>39</v>
      </c>
      <c r="D6" s="117" t="s">
        <v>39</v>
      </c>
      <c r="F6" s="118">
        <v>0.14399999999999999</v>
      </c>
      <c r="G6" s="10">
        <v>0.27</v>
      </c>
      <c r="H6" s="10">
        <v>1.1100000000000001</v>
      </c>
      <c r="I6" s="10">
        <v>1.0999999999999999E-2</v>
      </c>
      <c r="J6" s="10" t="s">
        <v>96</v>
      </c>
      <c r="K6" s="10">
        <v>0.28000000000000003</v>
      </c>
      <c r="L6" s="14">
        <v>5.0999999999999997E-2</v>
      </c>
      <c r="M6" s="10">
        <v>0.16</v>
      </c>
      <c r="N6" s="10" t="s">
        <v>97</v>
      </c>
      <c r="O6" s="10">
        <v>1.4E-2</v>
      </c>
      <c r="P6" s="10">
        <v>1.2E-2</v>
      </c>
      <c r="Q6" s="10" t="s">
        <v>97</v>
      </c>
      <c r="R6" s="10">
        <v>8.9999999999999993E-3</v>
      </c>
      <c r="S6" s="10">
        <v>4.4999999999999998E-2</v>
      </c>
      <c r="T6" s="10">
        <v>2E-3</v>
      </c>
      <c r="U6" s="10">
        <v>8.0000000000000002E-3</v>
      </c>
      <c r="V6" s="10" t="s">
        <v>50</v>
      </c>
      <c r="W6" s="10" t="s">
        <v>98</v>
      </c>
      <c r="X6" s="10" t="s">
        <v>97</v>
      </c>
      <c r="Y6" s="10" t="s">
        <v>97</v>
      </c>
      <c r="Z6" s="104">
        <v>1E-3</v>
      </c>
      <c r="AA6" s="14" t="s">
        <v>97</v>
      </c>
      <c r="AB6" s="104">
        <v>1E-3</v>
      </c>
      <c r="AC6" s="113"/>
      <c r="AD6" s="14">
        <v>1.4E-3</v>
      </c>
      <c r="AE6" s="122">
        <v>2.3E-3</v>
      </c>
      <c r="AF6" s="107">
        <f>F6+H6/6+R6/15+L6/15+K6/5+M6/5+P6/5</f>
        <v>0.42340000000000005</v>
      </c>
      <c r="AG6" s="13">
        <f>F6+G6/30+H6/20+R6/20+L6/60+K6/20+M6/15+P6/10+5*Z6</f>
        <v>0.2406666666666667</v>
      </c>
      <c r="AH6" s="81">
        <f>F6+(0.75+0.25*TANH(20*(F6-0.12)))*(G6/24+H6/6+R6/15+L6/20+K6/5+M6/5+0.005/5+P6/5)</f>
        <v>0.39454191046508624</v>
      </c>
      <c r="AI6" s="85">
        <f>F6+H6/10+M6/10+K6/20+R6/20+L6/40</f>
        <v>0.28672500000000006</v>
      </c>
    </row>
    <row r="7" spans="2:35" x14ac:dyDescent="0.25">
      <c r="B7" s="116" t="s">
        <v>42</v>
      </c>
      <c r="C7" s="115" t="s">
        <v>39</v>
      </c>
      <c r="D7" s="117" t="s">
        <v>39</v>
      </c>
      <c r="F7" s="118">
        <v>0.16900000000000001</v>
      </c>
      <c r="G7" s="10">
        <v>0.21</v>
      </c>
      <c r="H7" s="10">
        <v>1.21</v>
      </c>
      <c r="I7" s="10">
        <v>8.0000000000000002E-3</v>
      </c>
      <c r="J7" s="10" t="s">
        <v>96</v>
      </c>
      <c r="K7" s="10">
        <v>0.19</v>
      </c>
      <c r="L7" s="14">
        <v>4.3999999999999997E-2</v>
      </c>
      <c r="M7" s="10">
        <v>0.61</v>
      </c>
      <c r="N7" s="10" t="s">
        <v>97</v>
      </c>
      <c r="O7" s="10">
        <v>1.4E-2</v>
      </c>
      <c r="P7" s="10">
        <v>3.7999999999999999E-2</v>
      </c>
      <c r="Q7" s="10">
        <v>1.4E-2</v>
      </c>
      <c r="R7" s="10">
        <v>8.0000000000000002E-3</v>
      </c>
      <c r="S7" s="10">
        <v>5.0999999999999997E-2</v>
      </c>
      <c r="T7" s="10">
        <v>2E-3</v>
      </c>
      <c r="U7" s="14">
        <v>3.0999999999999999E-3</v>
      </c>
      <c r="V7" s="10" t="s">
        <v>50</v>
      </c>
      <c r="W7" s="10" t="s">
        <v>98</v>
      </c>
      <c r="X7" s="10" t="s">
        <v>97</v>
      </c>
      <c r="Y7" s="10" t="s">
        <v>97</v>
      </c>
      <c r="Z7" s="10">
        <v>8.9999999999999998E-4</v>
      </c>
      <c r="AA7" s="14" t="s">
        <v>97</v>
      </c>
      <c r="AB7" s="10">
        <v>6.9999999999999999E-4</v>
      </c>
      <c r="AC7" s="113"/>
      <c r="AD7" s="14">
        <v>1.2999999999999999E-3</v>
      </c>
      <c r="AE7" s="122">
        <v>3.2000000000000002E-3</v>
      </c>
      <c r="AF7" s="107">
        <f>F7+H7/6+R7/15+L7/15+K7/5+M7/5+P7/5</f>
        <v>0.5417333333333334</v>
      </c>
      <c r="AG7" s="13">
        <f>F7+G7/30+H7/20+R7/20+L7/60+K7/20+M7/15+P7/10+5*Z7</f>
        <v>0.29610000000000009</v>
      </c>
      <c r="AH7" s="81">
        <f>F7+(0.75+0.25*TANH(20*(F7-0.12)))*(G7/24+H7/6+R7/15+L7/20+K7/5+M7/5+Q7/5+P7/5)</f>
        <v>0.52887210695317921</v>
      </c>
      <c r="AI7" s="85">
        <f>F7+H7/10+M7/10+K7/20+R7/20+L7/40</f>
        <v>0.36200000000000004</v>
      </c>
    </row>
    <row r="8" spans="2:35" ht="6.75" customHeight="1" x14ac:dyDescent="0.25">
      <c r="B8" s="116"/>
      <c r="C8" s="10"/>
      <c r="D8" s="77"/>
      <c r="F8" s="123"/>
      <c r="G8" s="13"/>
      <c r="H8" s="13"/>
      <c r="I8" s="10"/>
      <c r="J8" s="10"/>
      <c r="K8" s="10"/>
      <c r="L8" s="14"/>
      <c r="M8" s="10"/>
      <c r="N8" s="10"/>
      <c r="O8" s="10"/>
      <c r="P8" s="10"/>
      <c r="Q8" s="10"/>
      <c r="R8" s="10"/>
      <c r="S8" s="10"/>
      <c r="T8" s="14"/>
      <c r="U8" s="14"/>
      <c r="V8" s="10"/>
      <c r="W8" s="10"/>
      <c r="X8" s="10"/>
      <c r="Y8" s="10"/>
      <c r="Z8" s="10"/>
      <c r="AA8" s="104"/>
      <c r="AB8" s="10"/>
      <c r="AC8" s="10"/>
      <c r="AD8" s="14"/>
      <c r="AE8" s="122"/>
      <c r="AF8" s="107"/>
      <c r="AG8" s="13"/>
      <c r="AH8" s="81"/>
      <c r="AI8" s="85"/>
    </row>
    <row r="9" spans="2:35" x14ac:dyDescent="0.25">
      <c r="B9" s="116" t="s">
        <v>37</v>
      </c>
      <c r="C9" s="10" t="s">
        <v>40</v>
      </c>
      <c r="D9" s="77">
        <v>7</v>
      </c>
      <c r="F9" s="123">
        <v>5.2999999999999999E-2</v>
      </c>
      <c r="G9" s="13">
        <v>0.33</v>
      </c>
      <c r="H9" s="13">
        <v>2.2000000000000002</v>
      </c>
      <c r="I9" s="10">
        <v>8.0000000000000002E-3</v>
      </c>
      <c r="J9" s="10">
        <v>5.0000000000000001E-3</v>
      </c>
      <c r="K9" s="10">
        <v>0.51</v>
      </c>
      <c r="L9" s="114">
        <v>3.3</v>
      </c>
      <c r="M9" s="10">
        <v>0.62</v>
      </c>
      <c r="N9" s="10">
        <v>5.0000000000000001E-3</v>
      </c>
      <c r="O9" s="10">
        <v>1.7000000000000001E-2</v>
      </c>
      <c r="P9" s="10">
        <v>1.6E-2</v>
      </c>
      <c r="Q9" s="10">
        <v>8.9999999999999993E-3</v>
      </c>
      <c r="R9" s="10">
        <v>8.9999999999999993E-3</v>
      </c>
      <c r="S9" s="10">
        <v>4.0000000000000001E-3</v>
      </c>
      <c r="T9" s="14">
        <v>2E-3</v>
      </c>
      <c r="U9" s="14">
        <v>1.2999999999999999E-2</v>
      </c>
      <c r="V9" s="10" t="s">
        <v>46</v>
      </c>
      <c r="W9" s="10">
        <v>4.0000000000000001E-3</v>
      </c>
      <c r="X9" s="10">
        <v>2E-3</v>
      </c>
      <c r="Y9" s="10" t="s">
        <v>47</v>
      </c>
      <c r="Z9" s="10" t="s">
        <v>48</v>
      </c>
      <c r="AA9" s="104">
        <v>4.0000000000000001E-3</v>
      </c>
      <c r="AB9" s="10">
        <v>2.0000000000000001E-4</v>
      </c>
      <c r="AC9" s="10">
        <v>8.9999999999999998E-4</v>
      </c>
      <c r="AD9" s="14">
        <v>2.4E-2</v>
      </c>
      <c r="AE9" s="122">
        <v>0.01</v>
      </c>
      <c r="AF9" s="107">
        <f>F9+H9/6+R9/15+L9/15+K9/5+M9/5+P9/5</f>
        <v>0.86946666666666661</v>
      </c>
      <c r="AG9" s="13">
        <f>F9+G9/30+H9/20+R9/20+L9/60+K9/20+M9/15+P9/10+0.0002</f>
        <v>0.29808333333333331</v>
      </c>
      <c r="AH9" s="81">
        <f>F9+(0.75+0.25*TANH(20*(F9-0.12)))*(G9/24+H9/6+R9/15+L9/20+K9/5+M9/5+Q9/5+P9/5)</f>
        <v>0.46643653401571339</v>
      </c>
      <c r="AI9" s="85">
        <f>F9+H9/10+M9/10+K9/20+R9/20+L9/40</f>
        <v>0.44345000000000001</v>
      </c>
    </row>
    <row r="10" spans="2:35" x14ac:dyDescent="0.25">
      <c r="B10" s="116" t="s">
        <v>37</v>
      </c>
      <c r="C10" s="10" t="s">
        <v>40</v>
      </c>
      <c r="D10" s="77">
        <v>11</v>
      </c>
      <c r="F10" s="123">
        <v>5.6000000000000001E-2</v>
      </c>
      <c r="G10" s="13">
        <v>0.37</v>
      </c>
      <c r="H10" s="13">
        <v>2.2799999999999998</v>
      </c>
      <c r="I10" s="10">
        <v>8.0000000000000002E-3</v>
      </c>
      <c r="J10" s="10">
        <v>5.0000000000000001E-3</v>
      </c>
      <c r="K10" s="10">
        <v>0.53</v>
      </c>
      <c r="L10" s="114">
        <v>3.4</v>
      </c>
      <c r="M10" s="10">
        <v>0.62</v>
      </c>
      <c r="N10" s="10">
        <v>5.0000000000000001E-3</v>
      </c>
      <c r="O10" s="10">
        <v>1.7000000000000001E-2</v>
      </c>
      <c r="P10" s="10">
        <v>1.6E-2</v>
      </c>
      <c r="Q10" s="10">
        <v>8.9999999999999993E-3</v>
      </c>
      <c r="R10" s="10">
        <v>8.9999999999999993E-3</v>
      </c>
      <c r="S10" s="10">
        <v>4.0000000000000001E-3</v>
      </c>
      <c r="T10" s="14">
        <v>2E-3</v>
      </c>
      <c r="U10" s="14">
        <v>1.4999999999999999E-2</v>
      </c>
      <c r="V10" s="10" t="s">
        <v>46</v>
      </c>
      <c r="W10" s="10">
        <v>4.0000000000000001E-3</v>
      </c>
      <c r="X10" s="10">
        <v>2E-3</v>
      </c>
      <c r="Y10" s="10" t="s">
        <v>47</v>
      </c>
      <c r="Z10" s="10" t="s">
        <v>48</v>
      </c>
      <c r="AA10" s="104">
        <v>4.0000000000000001E-3</v>
      </c>
      <c r="AB10" s="10">
        <v>2.0000000000000001E-4</v>
      </c>
      <c r="AC10" s="10">
        <v>8.9999999999999998E-4</v>
      </c>
      <c r="AD10" s="14">
        <v>2.8000000000000001E-2</v>
      </c>
      <c r="AE10" s="122">
        <v>8.9999999999999993E-3</v>
      </c>
      <c r="AF10" s="107">
        <f>F10+H10/6+R10/15+L10/15+K10/5+M10/5+P10/5</f>
        <v>0.89646666666666652</v>
      </c>
      <c r="AG10" s="13">
        <f t="shared" ref="AG10:AG12" si="0">F10+G10/30+H10/20+R10/20+L10/60+K10/20+M10/15+P10/10+0.0002</f>
        <v>0.30908333333333332</v>
      </c>
      <c r="AH10" s="81">
        <f>F10+(0.75+0.25*TANH(20*(F10-0.12)))*(G10/24+H10/6+R10/15+L10/20+K10/5+M10/5+Q10/5+P10/5)</f>
        <v>0.48524782698948454</v>
      </c>
      <c r="AI10" s="85">
        <f>F10+H10/10+M10/10+K10/20+R10/20+L10/40</f>
        <v>0.45794999999999997</v>
      </c>
    </row>
    <row r="11" spans="2:35" x14ac:dyDescent="0.25">
      <c r="B11" s="116" t="s">
        <v>38</v>
      </c>
      <c r="C11" s="10" t="s">
        <v>40</v>
      </c>
      <c r="D11" s="77">
        <v>7</v>
      </c>
      <c r="F11" s="74">
        <v>0.1</v>
      </c>
      <c r="G11" s="13">
        <v>0.4</v>
      </c>
      <c r="H11" s="13">
        <v>0.97</v>
      </c>
      <c r="I11" s="10">
        <v>8.0000000000000002E-3</v>
      </c>
      <c r="J11" s="10">
        <v>2E-3</v>
      </c>
      <c r="K11" s="10">
        <v>0.64</v>
      </c>
      <c r="L11" s="114">
        <v>3.3</v>
      </c>
      <c r="M11" s="10">
        <v>0.86</v>
      </c>
      <c r="N11" s="10">
        <v>3.0000000000000001E-3</v>
      </c>
      <c r="O11" s="10">
        <v>1.6E-2</v>
      </c>
      <c r="P11" s="10">
        <v>4.0000000000000001E-3</v>
      </c>
      <c r="Q11" s="10">
        <v>7.0000000000000001E-3</v>
      </c>
      <c r="R11" s="10">
        <v>1.7000000000000001E-2</v>
      </c>
      <c r="S11" s="10">
        <v>3.0000000000000001E-3</v>
      </c>
      <c r="T11" s="14">
        <v>2E-3</v>
      </c>
      <c r="U11" s="14">
        <v>1.7999999999999999E-2</v>
      </c>
      <c r="V11" s="10" t="s">
        <v>46</v>
      </c>
      <c r="W11" s="10">
        <v>3.0000000000000001E-3</v>
      </c>
      <c r="X11" s="10">
        <v>1E-3</v>
      </c>
      <c r="Y11" s="10" t="s">
        <v>47</v>
      </c>
      <c r="Z11" s="10" t="s">
        <v>48</v>
      </c>
      <c r="AA11" s="104">
        <v>3.0000000000000001E-3</v>
      </c>
      <c r="AB11" s="10">
        <v>2.0000000000000001E-4</v>
      </c>
      <c r="AC11" s="10">
        <v>6.9999999999999999E-4</v>
      </c>
      <c r="AD11" s="14">
        <v>2.1000000000000001E-2</v>
      </c>
      <c r="AE11" s="122">
        <v>1.0999999999999999E-2</v>
      </c>
      <c r="AF11" s="107">
        <f>F11+H11/6+R11/15+L11/15+K11/5+M11/5+P11/5</f>
        <v>0.78359999999999996</v>
      </c>
      <c r="AG11" s="13">
        <f t="shared" si="0"/>
        <v>0.30761666666666665</v>
      </c>
      <c r="AH11" s="81">
        <f>F11+(0.75+0.25*TANH(20*(F11-0.12)))*(G11/24+H11/6+R11/15+L11/20+K11/5+M11/5+Q11/5+P11/5)</f>
        <v>0.52357491776873866</v>
      </c>
      <c r="AI11" s="85">
        <f>F11+H11/10+M11/10+K11/20+R11/20+L11/40</f>
        <v>0.39835000000000009</v>
      </c>
    </row>
    <row r="12" spans="2:35" x14ac:dyDescent="0.25">
      <c r="B12" s="116" t="s">
        <v>38</v>
      </c>
      <c r="C12" s="10" t="s">
        <v>40</v>
      </c>
      <c r="D12" s="77">
        <v>11</v>
      </c>
      <c r="F12" s="74">
        <v>0.11</v>
      </c>
      <c r="G12" s="13">
        <v>0.44</v>
      </c>
      <c r="H12" s="13">
        <v>0.98</v>
      </c>
      <c r="I12" s="10">
        <v>8.0000000000000002E-3</v>
      </c>
      <c r="J12" s="10">
        <v>2E-3</v>
      </c>
      <c r="K12" s="10">
        <v>0.63</v>
      </c>
      <c r="L12" s="114">
        <v>3.3</v>
      </c>
      <c r="M12" s="10">
        <v>0.85</v>
      </c>
      <c r="N12" s="10">
        <v>3.0000000000000001E-3</v>
      </c>
      <c r="O12" s="10">
        <v>1.7000000000000001E-2</v>
      </c>
      <c r="P12" s="10">
        <v>3.0000000000000001E-3</v>
      </c>
      <c r="Q12" s="10">
        <v>6.0000000000000001E-3</v>
      </c>
      <c r="R12" s="10">
        <v>1.7000000000000001E-2</v>
      </c>
      <c r="S12" s="10">
        <v>3.0000000000000001E-3</v>
      </c>
      <c r="T12" s="14">
        <v>2E-3</v>
      </c>
      <c r="U12" s="14">
        <v>2.3E-2</v>
      </c>
      <c r="V12" s="10" t="s">
        <v>46</v>
      </c>
      <c r="W12" s="10">
        <v>3.0000000000000001E-3</v>
      </c>
      <c r="X12" s="10">
        <v>1E-3</v>
      </c>
      <c r="Y12" s="10" t="s">
        <v>47</v>
      </c>
      <c r="Z12" s="10" t="s">
        <v>48</v>
      </c>
      <c r="AA12" s="104">
        <v>2E-3</v>
      </c>
      <c r="AB12" s="10">
        <v>2.0000000000000001E-4</v>
      </c>
      <c r="AC12" s="10">
        <v>6.9999999999999999E-4</v>
      </c>
      <c r="AD12" s="14">
        <v>1.7999999999999999E-2</v>
      </c>
      <c r="AE12" s="122">
        <v>7.0000000000000001E-3</v>
      </c>
      <c r="AF12" s="107">
        <f>F12+H12/6+R12/15+L12/15+K12/5+M12/5+P12/5</f>
        <v>0.7910666666666667</v>
      </c>
      <c r="AG12" s="13">
        <f t="shared" si="0"/>
        <v>0.31818333333333332</v>
      </c>
      <c r="AH12" s="81">
        <f>F12+(0.75+0.25*TANH(20*(F12-0.12)))*(G12/24+H12/6+R12/15+L12/20+K12/5+M12/5+Q12/5+P12/5)</f>
        <v>0.56234362331570042</v>
      </c>
      <c r="AI12" s="85">
        <f>F12+H12/10+M12/10+K12/20+R12/20+L12/40</f>
        <v>0.40785000000000005</v>
      </c>
    </row>
    <row r="13" spans="2:35" ht="6.75" customHeight="1" x14ac:dyDescent="0.25">
      <c r="B13" s="116"/>
      <c r="C13" s="10"/>
      <c r="D13" s="77"/>
      <c r="F13" s="123"/>
      <c r="G13" s="13"/>
      <c r="H13" s="13"/>
      <c r="I13" s="10"/>
      <c r="J13" s="10"/>
      <c r="K13" s="10"/>
      <c r="L13" s="13"/>
      <c r="M13" s="10"/>
      <c r="N13" s="10"/>
      <c r="O13" s="10"/>
      <c r="P13" s="10"/>
      <c r="Q13" s="10"/>
      <c r="R13" s="10"/>
      <c r="S13" s="10"/>
      <c r="T13" s="14"/>
      <c r="U13" s="14"/>
      <c r="V13" s="10"/>
      <c r="W13" s="10"/>
      <c r="X13" s="10"/>
      <c r="Y13" s="10"/>
      <c r="Z13" s="10"/>
      <c r="AA13" s="104"/>
      <c r="AB13" s="10"/>
      <c r="AC13" s="10"/>
      <c r="AD13" s="14"/>
      <c r="AE13" s="122"/>
      <c r="AF13" s="107"/>
      <c r="AG13" s="13"/>
      <c r="AH13" s="81"/>
      <c r="AI13" s="85"/>
    </row>
    <row r="14" spans="2:35" x14ac:dyDescent="0.25">
      <c r="B14" s="116" t="s">
        <v>52</v>
      </c>
      <c r="C14" s="10" t="s">
        <v>85</v>
      </c>
      <c r="D14" s="117" t="s">
        <v>39</v>
      </c>
      <c r="F14" s="74">
        <v>0.1</v>
      </c>
      <c r="G14" s="13">
        <v>0.77</v>
      </c>
      <c r="H14" s="13">
        <v>1.86</v>
      </c>
      <c r="I14" s="10">
        <v>1.0999999999999999E-2</v>
      </c>
      <c r="J14" s="10">
        <v>8.9999999999999993E-3</v>
      </c>
      <c r="K14" s="10">
        <v>0.32</v>
      </c>
      <c r="L14" s="13">
        <v>1.85</v>
      </c>
      <c r="M14" s="10">
        <v>0.45</v>
      </c>
      <c r="N14" s="113"/>
      <c r="O14" s="113"/>
      <c r="P14" s="10">
        <v>0.01</v>
      </c>
      <c r="Q14" s="113"/>
      <c r="R14" s="10">
        <v>0.04</v>
      </c>
      <c r="S14" s="10" t="s">
        <v>86</v>
      </c>
      <c r="T14" s="113"/>
      <c r="U14" s="10" t="s">
        <v>86</v>
      </c>
      <c r="V14" s="113"/>
      <c r="W14" s="113"/>
      <c r="X14" s="113"/>
      <c r="Y14" s="10">
        <v>0.01</v>
      </c>
      <c r="Z14" s="113"/>
      <c r="AA14" s="113"/>
      <c r="AB14" s="113"/>
      <c r="AC14" s="113"/>
      <c r="AD14" s="113"/>
      <c r="AE14" s="124"/>
      <c r="AF14" s="107">
        <f t="shared" ref="AF14:AF21" si="1">F14+H14/6+R14/15+L14/15+K14/5+M14/5+P14/5</f>
        <v>0.69200000000000006</v>
      </c>
      <c r="AG14" s="13">
        <f t="shared" ref="AG14:AG21" si="2">F14+G14/30+H14/20+R14/20+L14/60+K14/20+M14/15+P14/10+5*Z14</f>
        <v>0.29850000000000004</v>
      </c>
      <c r="AH14" s="81">
        <f t="shared" ref="AH14:AH21" si="3">F14+(0.75+0.25*TANH(20*(F14-0.12)))*(G14/24+H14/6+R14/15+L14/20+K14/5+M14/5+Q14/5+P14/5)</f>
        <v>0.48858631953552201</v>
      </c>
      <c r="AI14" s="85">
        <f t="shared" ref="AI14:AI21" si="4">F14+H14/10+M14/10+K14/20+R14/20+L14/40</f>
        <v>0.39525000000000005</v>
      </c>
    </row>
    <row r="15" spans="2:35" x14ac:dyDescent="0.25">
      <c r="B15" s="116" t="s">
        <v>57</v>
      </c>
      <c r="C15" s="10" t="s">
        <v>85</v>
      </c>
      <c r="D15" s="117" t="s">
        <v>39</v>
      </c>
      <c r="F15" s="123">
        <v>0.08</v>
      </c>
      <c r="G15" s="13">
        <v>0.8</v>
      </c>
      <c r="H15" s="13">
        <v>1.75</v>
      </c>
      <c r="I15" s="14">
        <v>0.01</v>
      </c>
      <c r="J15" s="10">
        <v>3.0000000000000001E-3</v>
      </c>
      <c r="K15" s="10">
        <v>0.41</v>
      </c>
      <c r="L15" s="13">
        <v>2.2200000000000002</v>
      </c>
      <c r="M15" s="10">
        <v>0.53</v>
      </c>
      <c r="N15" s="113"/>
      <c r="O15" s="113"/>
      <c r="P15" s="10">
        <v>0.01</v>
      </c>
      <c r="Q15" s="113"/>
      <c r="R15" s="10">
        <v>0.105</v>
      </c>
      <c r="S15" s="10">
        <v>0.01</v>
      </c>
      <c r="T15" s="113"/>
      <c r="U15" s="14">
        <v>0.05</v>
      </c>
      <c r="V15" s="113"/>
      <c r="W15" s="113"/>
      <c r="X15" s="113"/>
      <c r="Y15" s="10" t="s">
        <v>86</v>
      </c>
      <c r="Z15" s="113"/>
      <c r="AA15" s="113"/>
      <c r="AB15" s="113"/>
      <c r="AC15" s="113"/>
      <c r="AD15" s="113"/>
      <c r="AE15" s="124"/>
      <c r="AF15" s="107">
        <f t="shared" si="1"/>
        <v>0.71666666666666667</v>
      </c>
      <c r="AG15" s="13">
        <f t="shared" si="2"/>
        <v>0.29325000000000001</v>
      </c>
      <c r="AH15" s="81">
        <f t="shared" si="3"/>
        <v>0.44966618110511292</v>
      </c>
      <c r="AI15" s="85">
        <f t="shared" si="4"/>
        <v>0.38924999999999998</v>
      </c>
    </row>
    <row r="16" spans="2:35" x14ac:dyDescent="0.25">
      <c r="B16" s="116" t="s">
        <v>52</v>
      </c>
      <c r="C16" s="10" t="s">
        <v>81</v>
      </c>
      <c r="D16" s="117" t="s">
        <v>39</v>
      </c>
      <c r="F16" s="123">
        <v>8.6999999999999994E-2</v>
      </c>
      <c r="G16" s="13">
        <v>0.56999999999999995</v>
      </c>
      <c r="H16" s="13">
        <v>1.55</v>
      </c>
      <c r="I16" s="10">
        <v>0.01</v>
      </c>
      <c r="J16" s="10">
        <v>7.0000000000000001E-3</v>
      </c>
      <c r="K16" s="10">
        <v>0.28000000000000003</v>
      </c>
      <c r="L16" s="13">
        <v>1.86</v>
      </c>
      <c r="M16" s="10">
        <v>0.43</v>
      </c>
      <c r="N16" s="10">
        <v>6.0000000000000001E-3</v>
      </c>
      <c r="O16" s="10">
        <v>5.1000000000000004E-3</v>
      </c>
      <c r="P16" s="10">
        <v>3.0000000000000001E-3</v>
      </c>
      <c r="Q16" s="10">
        <v>4.0000000000000001E-3</v>
      </c>
      <c r="R16" s="10">
        <v>3.1E-2</v>
      </c>
      <c r="S16" s="10">
        <v>3.0000000000000001E-3</v>
      </c>
      <c r="T16" s="14">
        <v>3.0000000000000001E-3</v>
      </c>
      <c r="U16" s="14">
        <v>2E-3</v>
      </c>
      <c r="V16" s="10" t="s">
        <v>46</v>
      </c>
      <c r="W16" s="10">
        <v>2E-3</v>
      </c>
      <c r="X16" s="10">
        <v>2E-3</v>
      </c>
      <c r="Y16" s="10" t="s">
        <v>47</v>
      </c>
      <c r="Z16" s="10">
        <v>8.0000000000000004E-4</v>
      </c>
      <c r="AA16" s="104">
        <v>3.0000000000000001E-3</v>
      </c>
      <c r="AB16" s="10">
        <v>2.0000000000000001E-4</v>
      </c>
      <c r="AC16" s="113"/>
      <c r="AD16" s="10">
        <v>2.4E-2</v>
      </c>
      <c r="AE16" s="122">
        <v>1.6E-2</v>
      </c>
      <c r="AF16" s="107">
        <f t="shared" si="1"/>
        <v>0.6140000000000001</v>
      </c>
      <c r="AG16" s="13">
        <f t="shared" si="2"/>
        <v>0.26301666666666668</v>
      </c>
      <c r="AH16" s="81">
        <f t="shared" si="3"/>
        <v>0.40214573133492071</v>
      </c>
      <c r="AI16" s="85">
        <f t="shared" si="4"/>
        <v>0.34704999999999997</v>
      </c>
    </row>
    <row r="17" spans="2:35" x14ac:dyDescent="0.25">
      <c r="B17" s="116" t="s">
        <v>57</v>
      </c>
      <c r="C17" s="10" t="s">
        <v>81</v>
      </c>
      <c r="D17" s="117" t="s">
        <v>39</v>
      </c>
      <c r="F17" s="123">
        <v>8.2000000000000003E-2</v>
      </c>
      <c r="G17" s="13">
        <v>0.7</v>
      </c>
      <c r="H17" s="13">
        <v>1.6</v>
      </c>
      <c r="I17" s="10">
        <v>4.0000000000000001E-3</v>
      </c>
      <c r="J17" s="10">
        <v>4.0000000000000001E-3</v>
      </c>
      <c r="K17" s="10">
        <v>0.39</v>
      </c>
      <c r="L17" s="13">
        <v>2.2400000000000002</v>
      </c>
      <c r="M17" s="10">
        <v>0.55000000000000004</v>
      </c>
      <c r="N17" s="10">
        <v>6.0000000000000001E-3</v>
      </c>
      <c r="O17" s="10">
        <v>8.0000000000000002E-3</v>
      </c>
      <c r="P17" s="10">
        <v>6.0000000000000001E-3</v>
      </c>
      <c r="Q17" s="10">
        <v>5.0000000000000001E-3</v>
      </c>
      <c r="R17" s="10">
        <v>3.4000000000000002E-2</v>
      </c>
      <c r="S17" s="10">
        <v>6.0000000000000001E-3</v>
      </c>
      <c r="T17" s="14">
        <v>4.0000000000000001E-3</v>
      </c>
      <c r="U17" s="14">
        <v>2.1000000000000001E-2</v>
      </c>
      <c r="V17" s="10" t="s">
        <v>46</v>
      </c>
      <c r="W17" s="10">
        <v>3.0000000000000001E-3</v>
      </c>
      <c r="X17" s="10">
        <v>2E-3</v>
      </c>
      <c r="Y17" s="10" t="s">
        <v>47</v>
      </c>
      <c r="Z17" s="10">
        <v>6.9999999999999999E-4</v>
      </c>
      <c r="AA17" s="104">
        <v>4.0000000000000001E-3</v>
      </c>
      <c r="AB17" s="10">
        <v>1E-4</v>
      </c>
      <c r="AC17" s="113"/>
      <c r="AD17" s="10">
        <v>2.5999999999999999E-2</v>
      </c>
      <c r="AE17" s="122">
        <v>1.0999999999999999E-2</v>
      </c>
      <c r="AF17" s="107">
        <f t="shared" si="1"/>
        <v>0.68946666666666656</v>
      </c>
      <c r="AG17" s="13">
        <f t="shared" si="2"/>
        <v>0.28463333333333335</v>
      </c>
      <c r="AH17" s="81">
        <f t="shared" si="3"/>
        <v>0.43601537505010918</v>
      </c>
      <c r="AI17" s="85">
        <f t="shared" si="4"/>
        <v>0.37419999999999998</v>
      </c>
    </row>
    <row r="18" spans="2:35" x14ac:dyDescent="0.25">
      <c r="B18" s="116" t="s">
        <v>51</v>
      </c>
      <c r="C18" s="10" t="s">
        <v>81</v>
      </c>
      <c r="D18" s="117" t="s">
        <v>39</v>
      </c>
      <c r="F18" s="123">
        <v>0.09</v>
      </c>
      <c r="G18" s="13">
        <v>0.51</v>
      </c>
      <c r="H18" s="13">
        <v>1.33</v>
      </c>
      <c r="I18" s="10">
        <v>0.01</v>
      </c>
      <c r="J18" s="10">
        <v>1.2E-2</v>
      </c>
      <c r="K18" s="10">
        <v>0.51</v>
      </c>
      <c r="L18" s="13">
        <v>2.71</v>
      </c>
      <c r="M18" s="10">
        <v>0.69</v>
      </c>
      <c r="N18" s="10">
        <v>4.0000000000000001E-3</v>
      </c>
      <c r="O18" s="10">
        <v>7.0000000000000001E-3</v>
      </c>
      <c r="P18" s="10">
        <v>2E-3</v>
      </c>
      <c r="Q18" s="10">
        <v>5.0000000000000001E-3</v>
      </c>
      <c r="R18" s="10">
        <v>2.3E-2</v>
      </c>
      <c r="S18" s="10">
        <v>5.0000000000000001E-3</v>
      </c>
      <c r="T18" s="14">
        <v>2E-3</v>
      </c>
      <c r="U18" s="14">
        <v>7.0000000000000001E-3</v>
      </c>
      <c r="V18" s="10" t="s">
        <v>46</v>
      </c>
      <c r="W18" s="10">
        <v>3.0000000000000001E-3</v>
      </c>
      <c r="X18" s="10">
        <v>2E-3</v>
      </c>
      <c r="Y18" s="10" t="s">
        <v>47</v>
      </c>
      <c r="Z18" s="10">
        <v>2.9999999999999997E-4</v>
      </c>
      <c r="AA18" s="104">
        <v>3.0000000000000001E-3</v>
      </c>
      <c r="AB18" s="10">
        <v>5.0000000000000001E-4</v>
      </c>
      <c r="AC18" s="113"/>
      <c r="AD18" s="10">
        <v>2.7E-2</v>
      </c>
      <c r="AE18" s="122">
        <v>4.0000000000000001E-3</v>
      </c>
      <c r="AF18" s="107">
        <f t="shared" si="1"/>
        <v>0.73426666666666662</v>
      </c>
      <c r="AG18" s="13">
        <f t="shared" si="2"/>
        <v>0.29301666666666665</v>
      </c>
      <c r="AH18" s="81">
        <f t="shared" si="3"/>
        <v>0.47258856288644269</v>
      </c>
      <c r="AI18" s="85">
        <f t="shared" si="4"/>
        <v>0.38639999999999997</v>
      </c>
    </row>
    <row r="19" spans="2:35" x14ac:dyDescent="0.25">
      <c r="B19" s="116" t="s">
        <v>53</v>
      </c>
      <c r="C19" s="10" t="s">
        <v>81</v>
      </c>
      <c r="D19" s="117" t="s">
        <v>39</v>
      </c>
      <c r="F19" s="74">
        <v>0.1</v>
      </c>
      <c r="G19" s="13">
        <v>0.54</v>
      </c>
      <c r="H19" s="13">
        <v>1.26</v>
      </c>
      <c r="I19" s="10">
        <v>0.01</v>
      </c>
      <c r="J19" s="10">
        <v>8.0000000000000002E-3</v>
      </c>
      <c r="K19" s="10">
        <v>0.55000000000000004</v>
      </c>
      <c r="L19" s="13">
        <v>2.62</v>
      </c>
      <c r="M19" s="10">
        <v>0.71</v>
      </c>
      <c r="N19" s="10">
        <v>5.0000000000000001E-3</v>
      </c>
      <c r="O19" s="10">
        <v>8.0000000000000002E-3</v>
      </c>
      <c r="P19" s="10">
        <v>3.0000000000000001E-3</v>
      </c>
      <c r="Q19" s="10">
        <v>4.0000000000000001E-3</v>
      </c>
      <c r="R19" s="10">
        <v>2.8000000000000001E-2</v>
      </c>
      <c r="S19" s="10">
        <v>0.01</v>
      </c>
      <c r="T19" s="14">
        <v>3.0000000000000001E-3</v>
      </c>
      <c r="U19" s="14">
        <v>1.2E-2</v>
      </c>
      <c r="V19" s="10" t="s">
        <v>46</v>
      </c>
      <c r="W19" s="10">
        <v>3.0000000000000001E-3</v>
      </c>
      <c r="X19" s="10">
        <v>2E-3</v>
      </c>
      <c r="Y19" s="10" t="s">
        <v>47</v>
      </c>
      <c r="Z19" s="10">
        <v>2.0000000000000001E-4</v>
      </c>
      <c r="AA19" s="104">
        <v>3.0000000000000001E-3</v>
      </c>
      <c r="AB19" s="10">
        <v>6.9999999999999999E-4</v>
      </c>
      <c r="AC19" s="113"/>
      <c r="AD19" s="10">
        <v>2.8000000000000001E-2</v>
      </c>
      <c r="AE19" s="122">
        <v>5.0000000000000001E-3</v>
      </c>
      <c r="AF19" s="107">
        <f t="shared" si="1"/>
        <v>0.73913333333333342</v>
      </c>
      <c r="AG19" s="13">
        <f t="shared" si="2"/>
        <v>0.30220000000000002</v>
      </c>
      <c r="AH19" s="81">
        <f t="shared" si="3"/>
        <v>0.50530006178046893</v>
      </c>
      <c r="AI19" s="85">
        <f t="shared" si="4"/>
        <v>0.39140000000000003</v>
      </c>
    </row>
    <row r="20" spans="2:35" x14ac:dyDescent="0.25">
      <c r="B20" s="116" t="s">
        <v>51</v>
      </c>
      <c r="C20" s="10" t="s">
        <v>40</v>
      </c>
      <c r="D20" s="117"/>
      <c r="F20" s="123">
        <v>0.09</v>
      </c>
      <c r="G20" s="13">
        <v>0.56999999999999995</v>
      </c>
      <c r="H20" s="13">
        <v>1.36</v>
      </c>
      <c r="I20" s="10">
        <v>8.9999999999999993E-3</v>
      </c>
      <c r="J20" s="10">
        <v>8.9999999999999993E-3</v>
      </c>
      <c r="K20" s="10">
        <v>0.5</v>
      </c>
      <c r="L20" s="13">
        <v>2.6</v>
      </c>
      <c r="M20" s="10">
        <v>0.66</v>
      </c>
      <c r="N20" s="10"/>
      <c r="O20" s="10"/>
      <c r="P20" s="10">
        <v>3.0000000000000001E-3</v>
      </c>
      <c r="Q20" s="10">
        <v>7.0000000000000001E-3</v>
      </c>
      <c r="R20" s="10"/>
      <c r="S20" s="10"/>
      <c r="T20" s="14"/>
      <c r="U20" s="14"/>
      <c r="V20" s="10"/>
      <c r="W20" s="10"/>
      <c r="X20" s="10"/>
      <c r="Y20" s="10"/>
      <c r="Z20" s="10">
        <v>2.0000000000000001E-4</v>
      </c>
      <c r="AA20" s="104"/>
      <c r="AB20" s="10"/>
      <c r="AC20" s="113"/>
      <c r="AD20" s="10">
        <v>2.1000000000000001E-2</v>
      </c>
      <c r="AE20" s="77">
        <v>4.0000000000000001E-3</v>
      </c>
      <c r="AF20" s="107">
        <f t="shared" si="1"/>
        <v>0.72260000000000002</v>
      </c>
      <c r="AG20" s="13">
        <f t="shared" si="2"/>
        <v>0.29063333333333335</v>
      </c>
      <c r="AH20" s="81">
        <f t="shared" si="3"/>
        <v>0.4683194488025727</v>
      </c>
      <c r="AI20" s="85">
        <f t="shared" si="4"/>
        <v>0.38200000000000006</v>
      </c>
    </row>
    <row r="21" spans="2:35" x14ac:dyDescent="0.25">
      <c r="B21" s="116" t="s">
        <v>53</v>
      </c>
      <c r="C21" s="10" t="s">
        <v>40</v>
      </c>
      <c r="D21" s="77"/>
      <c r="F21" s="74">
        <v>0.11</v>
      </c>
      <c r="G21" s="13">
        <v>0.56000000000000005</v>
      </c>
      <c r="H21" s="13">
        <v>1.29</v>
      </c>
      <c r="I21" s="10">
        <v>0.01</v>
      </c>
      <c r="J21" s="10">
        <v>0.01</v>
      </c>
      <c r="K21" s="10">
        <v>0.56999999999999995</v>
      </c>
      <c r="L21" s="13">
        <v>2.44</v>
      </c>
      <c r="M21" s="10">
        <v>0.72</v>
      </c>
      <c r="N21" s="113"/>
      <c r="O21" s="113"/>
      <c r="P21" s="10">
        <v>4.0000000000000001E-3</v>
      </c>
      <c r="Q21" s="10">
        <v>7.0000000000000001E-3</v>
      </c>
      <c r="R21" s="113"/>
      <c r="S21" s="113"/>
      <c r="T21" s="113"/>
      <c r="U21" s="113"/>
      <c r="V21" s="113"/>
      <c r="W21" s="113"/>
      <c r="X21" s="113"/>
      <c r="Y21" s="113"/>
      <c r="Z21" s="10">
        <v>2.0000000000000001E-4</v>
      </c>
      <c r="AA21" s="113"/>
      <c r="AB21" s="113"/>
      <c r="AC21" s="113"/>
      <c r="AD21" s="10">
        <v>2.1999999999999999E-2</v>
      </c>
      <c r="AE21" s="77">
        <v>3.0000000000000001E-3</v>
      </c>
      <c r="AF21" s="107">
        <f t="shared" si="1"/>
        <v>0.74646666666666672</v>
      </c>
      <c r="AG21" s="13">
        <f t="shared" si="2"/>
        <v>0.31173333333333331</v>
      </c>
      <c r="AH21" s="81">
        <f t="shared" si="3"/>
        <v>0.54478050865577654</v>
      </c>
      <c r="AI21" s="85">
        <f t="shared" si="4"/>
        <v>0.40050000000000002</v>
      </c>
    </row>
    <row r="22" spans="2:35" ht="6.75" customHeight="1" x14ac:dyDescent="0.25">
      <c r="B22" s="116"/>
      <c r="C22" s="10"/>
      <c r="D22" s="77"/>
      <c r="F22" s="123"/>
      <c r="G22" s="13"/>
      <c r="H22" s="13"/>
      <c r="I22" s="10"/>
      <c r="J22" s="10"/>
      <c r="K22" s="10"/>
      <c r="L22" s="13"/>
      <c r="M22" s="10"/>
      <c r="N22" s="10"/>
      <c r="O22" s="10"/>
      <c r="P22" s="10"/>
      <c r="Q22" s="10"/>
      <c r="R22" s="10"/>
      <c r="S22" s="10"/>
      <c r="T22" s="14"/>
      <c r="U22" s="14"/>
      <c r="V22" s="10"/>
      <c r="W22" s="10"/>
      <c r="X22" s="10"/>
      <c r="Y22" s="10"/>
      <c r="Z22" s="10"/>
      <c r="AA22" s="104"/>
      <c r="AB22" s="10"/>
      <c r="AC22" s="10"/>
      <c r="AD22" s="14"/>
      <c r="AE22" s="122"/>
      <c r="AF22" s="107"/>
      <c r="AG22" s="13"/>
      <c r="AH22" s="81"/>
      <c r="AI22" s="85"/>
    </row>
    <row r="23" spans="2:35" x14ac:dyDescent="0.25">
      <c r="B23" s="118" t="s">
        <v>67</v>
      </c>
      <c r="C23" s="10" t="s">
        <v>64</v>
      </c>
      <c r="D23" s="77" t="s">
        <v>65</v>
      </c>
      <c r="F23" s="123">
        <v>8.8999999999999996E-2</v>
      </c>
      <c r="G23" s="10">
        <v>0.38</v>
      </c>
      <c r="H23" s="10">
        <v>1.6</v>
      </c>
      <c r="I23" s="10">
        <v>1.0999999999999999E-2</v>
      </c>
      <c r="J23" s="10">
        <v>5.0000000000000001E-3</v>
      </c>
      <c r="K23" s="10">
        <v>4.2999999999999997E-2</v>
      </c>
      <c r="L23" s="13">
        <v>2.5</v>
      </c>
      <c r="M23" s="10">
        <v>0.98</v>
      </c>
      <c r="N23" s="10">
        <v>8.0000000000000002E-3</v>
      </c>
      <c r="O23" s="10">
        <v>8.0000000000000002E-3</v>
      </c>
      <c r="P23" s="10">
        <v>3.0000000000000001E-3</v>
      </c>
      <c r="Q23" s="10">
        <v>6.0000000000000001E-3</v>
      </c>
      <c r="R23" s="10">
        <v>5.3999999999999999E-2</v>
      </c>
      <c r="S23" s="10">
        <v>0.02</v>
      </c>
      <c r="T23" s="10">
        <v>4.0000000000000001E-3</v>
      </c>
      <c r="U23" s="10">
        <v>1.0999999999999999E-2</v>
      </c>
      <c r="V23" s="10" t="s">
        <v>46</v>
      </c>
      <c r="W23" s="10">
        <v>4.0000000000000001E-3</v>
      </c>
      <c r="X23" s="10">
        <v>3.0000000000000001E-3</v>
      </c>
      <c r="Y23" s="10" t="s">
        <v>47</v>
      </c>
      <c r="Z23" s="10">
        <v>2.0000000000000001E-4</v>
      </c>
      <c r="AA23" s="10">
        <v>4.0000000000000001E-3</v>
      </c>
      <c r="AB23" s="10">
        <v>5.0000000000000001E-4</v>
      </c>
      <c r="AC23" s="14">
        <v>1.9E-3</v>
      </c>
      <c r="AD23" s="10">
        <v>1.6E-2</v>
      </c>
      <c r="AE23" s="77">
        <v>3.0000000000000001E-3</v>
      </c>
      <c r="AF23" s="107">
        <f>F23+H23/6+R23/15+L23/15+K23/5+M23/5+P23/5</f>
        <v>0.73113333333333352</v>
      </c>
      <c r="AG23" s="13">
        <f>F23+G23/30+H23/20+R23/20+L23/60+K23/20+M23/15+P23/10+5*Z23</f>
        <v>0.29481666666666667</v>
      </c>
      <c r="AH23" s="81">
        <f>F23+(0.75+0.25*TANH(20*(F23-0.12)))*(G23/24+H23/6+R23/15+L23/20+K23/5+M23/5+Q23/5+P23/5)</f>
        <v>0.46704461059442348</v>
      </c>
      <c r="AI23" s="85">
        <f>F23+H23/10+M23/10+K23/20+R23/20+L23/40</f>
        <v>0.41434999999999994</v>
      </c>
    </row>
    <row r="24" spans="2:35" ht="15.75" thickBot="1" x14ac:dyDescent="0.3">
      <c r="B24" s="119" t="s">
        <v>68</v>
      </c>
      <c r="C24" s="63" t="s">
        <v>64</v>
      </c>
      <c r="D24" s="97" t="s">
        <v>65</v>
      </c>
      <c r="E24" s="78"/>
      <c r="F24" s="125">
        <v>0.11</v>
      </c>
      <c r="G24" s="63">
        <v>0.39</v>
      </c>
      <c r="H24" s="63">
        <v>1.7</v>
      </c>
      <c r="I24" s="63">
        <v>1.0999999999999999E-2</v>
      </c>
      <c r="J24" s="63">
        <v>5.0000000000000001E-3</v>
      </c>
      <c r="K24" s="63">
        <v>3.9E-2</v>
      </c>
      <c r="L24" s="67">
        <v>2.59</v>
      </c>
      <c r="M24" s="63">
        <v>1.05</v>
      </c>
      <c r="N24" s="63">
        <v>8.0000000000000002E-3</v>
      </c>
      <c r="O24" s="63">
        <v>8.0000000000000002E-3</v>
      </c>
      <c r="P24" s="63">
        <v>3.0000000000000001E-3</v>
      </c>
      <c r="Q24" s="63">
        <v>7.0000000000000001E-3</v>
      </c>
      <c r="R24" s="63">
        <v>3.5999999999999997E-2</v>
      </c>
      <c r="S24" s="63">
        <v>2.1000000000000001E-2</v>
      </c>
      <c r="T24" s="63">
        <v>4.0000000000000001E-3</v>
      </c>
      <c r="U24" s="63">
        <v>0.01</v>
      </c>
      <c r="V24" s="63" t="s">
        <v>46</v>
      </c>
      <c r="W24" s="63">
        <v>3.0000000000000001E-3</v>
      </c>
      <c r="X24" s="63">
        <v>2E-3</v>
      </c>
      <c r="Y24" s="63" t="s">
        <v>47</v>
      </c>
      <c r="Z24" s="63">
        <v>2.0000000000000001E-4</v>
      </c>
      <c r="AA24" s="63">
        <v>5.0000000000000001E-3</v>
      </c>
      <c r="AB24" s="63">
        <v>8.0000000000000004E-4</v>
      </c>
      <c r="AC24" s="63">
        <v>2E-3</v>
      </c>
      <c r="AD24" s="63">
        <v>1.6E-2</v>
      </c>
      <c r="AE24" s="97">
        <v>3.0000000000000001E-3</v>
      </c>
      <c r="AF24" s="108">
        <f>F24+H24/6+R24/15+L24/15+K24/5+M24/5+P24/5</f>
        <v>0.78680000000000005</v>
      </c>
      <c r="AG24" s="67">
        <f>F24+G24/30+H24/20+R24/20+L24/60+K24/20+M24/15+P24/10+5*Z24</f>
        <v>0.32621666666666671</v>
      </c>
      <c r="AH24" s="83">
        <f>F24+(0.75+0.25*TANH(20*(F24-0.12)))*(G24/24+H24/6+R24/15+L24/20+K24/5+M24/5+Q24/5+P24/5)</f>
        <v>0.56632568588154764</v>
      </c>
      <c r="AI24" s="86">
        <f>F24+H24/10+M24/10+K24/20+R24/20+L24/40</f>
        <v>0.45350000000000001</v>
      </c>
    </row>
    <row r="25" spans="2:35" x14ac:dyDescent="0.25">
      <c r="AF25" s="12"/>
    </row>
    <row r="26" spans="2:35" x14ac:dyDescent="0.25">
      <c r="AF26" s="12"/>
    </row>
    <row r="27" spans="2:35" x14ac:dyDescent="0.25">
      <c r="AF27" s="12"/>
    </row>
    <row r="28" spans="2:35" x14ac:dyDescent="0.25">
      <c r="AF28" s="12"/>
    </row>
    <row r="29" spans="2:35" s="1" customFormat="1" x14ac:dyDescent="0.25"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s="12"/>
      <c r="AH29"/>
      <c r="AI29"/>
    </row>
    <row r="30" spans="2:35" s="1" customFormat="1" x14ac:dyDescent="0.25"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 s="12"/>
      <c r="AH30"/>
      <c r="AI30"/>
    </row>
    <row r="31" spans="2:35" s="1" customFormat="1" x14ac:dyDescent="0.25"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s="12"/>
      <c r="AH31"/>
      <c r="AI31"/>
    </row>
    <row r="32" spans="2:35" s="1" customFormat="1" x14ac:dyDescent="0.25"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 s="12"/>
      <c r="AH32"/>
      <c r="AI32"/>
    </row>
    <row r="33" spans="5:35" s="1" customFormat="1" x14ac:dyDescent="0.25"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 s="12"/>
      <c r="AH33"/>
      <c r="AI33"/>
    </row>
    <row r="34" spans="5:35" s="1" customFormat="1" x14ac:dyDescent="0.25"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 s="12"/>
      <c r="AH34"/>
      <c r="AI34"/>
    </row>
    <row r="35" spans="5:35" s="1" customFormat="1" x14ac:dyDescent="0.25"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 s="12"/>
      <c r="AH35"/>
      <c r="AI35"/>
    </row>
    <row r="36" spans="5:35" s="1" customFormat="1" x14ac:dyDescent="0.25"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 s="12"/>
      <c r="AH36"/>
      <c r="AI36"/>
    </row>
    <row r="37" spans="5:35" s="1" customFormat="1" x14ac:dyDescent="0.25"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s="12"/>
      <c r="AH37"/>
      <c r="AI37"/>
    </row>
    <row r="38" spans="5:35" s="1" customFormat="1" x14ac:dyDescent="0.25"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 s="12"/>
      <c r="AH38"/>
      <c r="AI38"/>
    </row>
    <row r="39" spans="5:35" s="1" customFormat="1" x14ac:dyDescent="0.25"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 s="12"/>
      <c r="AH39"/>
      <c r="AI39"/>
    </row>
    <row r="40" spans="5:35" s="1" customFormat="1" x14ac:dyDescent="0.25"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 s="12"/>
      <c r="AH40"/>
      <c r="AI40"/>
    </row>
  </sheetData>
  <mergeCells count="4">
    <mergeCell ref="AF3:AI3"/>
    <mergeCell ref="B3:D3"/>
    <mergeCell ref="E3:E4"/>
    <mergeCell ref="F3:AE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O108"/>
  <sheetViews>
    <sheetView topLeftCell="A3" zoomScale="90" zoomScaleNormal="90" workbookViewId="0">
      <pane ySplit="870" activePane="bottomLeft"/>
      <selection activeCell="AK3" sqref="K1:AK1048576"/>
      <selection pane="bottomLeft" activeCell="AL84" sqref="AL84:AO87"/>
    </sheetView>
  </sheetViews>
  <sheetFormatPr defaultRowHeight="15" x14ac:dyDescent="0.25"/>
  <cols>
    <col min="1" max="1" width="3.140625" customWidth="1"/>
    <col min="2" max="2" width="7.42578125" style="1" hidden="1" customWidth="1"/>
    <col min="3" max="3" width="13.28515625" style="1" customWidth="1"/>
    <col min="4" max="4" width="0" style="1" hidden="1" customWidth="1"/>
    <col min="5" max="5" width="13.42578125" style="1" customWidth="1"/>
    <col min="6" max="6" width="20" style="1" customWidth="1"/>
    <col min="7" max="7" width="10.42578125" style="1" hidden="1" customWidth="1"/>
    <col min="8" max="8" width="12" style="1" hidden="1" customWidth="1"/>
    <col min="9" max="9" width="9.140625" style="1" customWidth="1"/>
    <col min="10" max="10" width="1" customWidth="1"/>
    <col min="11" max="30" width="6.7109375" hidden="1" customWidth="1"/>
    <col min="31" max="31" width="9.42578125" hidden="1" customWidth="1"/>
    <col min="32" max="32" width="8" hidden="1" customWidth="1"/>
    <col min="33" max="33" width="7.7109375" hidden="1" customWidth="1"/>
    <col min="34" max="34" width="7.85546875" hidden="1" customWidth="1"/>
    <col min="35" max="36" width="6.7109375" hidden="1" customWidth="1"/>
    <col min="37" max="37" width="25.140625" hidden="1" customWidth="1"/>
    <col min="38" max="38" width="9.7109375" customWidth="1"/>
    <col min="39" max="39" width="9.140625" style="1"/>
  </cols>
  <sheetData>
    <row r="2" spans="2:41" ht="15.75" thickBot="1" x14ac:dyDescent="0.3"/>
    <row r="3" spans="2:41" x14ac:dyDescent="0.25">
      <c r="B3" s="421" t="s">
        <v>58</v>
      </c>
      <c r="C3" s="397" t="s">
        <v>33</v>
      </c>
      <c r="D3" s="396" t="s">
        <v>32</v>
      </c>
      <c r="E3" s="394"/>
      <c r="F3" s="394"/>
      <c r="G3" s="394"/>
      <c r="H3" s="394"/>
      <c r="I3" s="395"/>
      <c r="J3" s="423"/>
      <c r="K3" s="394" t="s">
        <v>30</v>
      </c>
      <c r="L3" s="394"/>
      <c r="M3" s="394"/>
      <c r="N3" s="394"/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  <c r="AA3" s="394"/>
      <c r="AB3" s="394"/>
      <c r="AC3" s="394"/>
      <c r="AD3" s="394"/>
      <c r="AE3" s="394"/>
      <c r="AF3" s="394"/>
      <c r="AG3" s="394"/>
      <c r="AH3" s="394"/>
      <c r="AI3" s="394"/>
      <c r="AJ3" s="395"/>
      <c r="AK3" s="386" t="s">
        <v>108</v>
      </c>
      <c r="AL3" s="388" t="s">
        <v>106</v>
      </c>
      <c r="AM3" s="389"/>
      <c r="AN3" s="389"/>
      <c r="AO3" s="390"/>
    </row>
    <row r="4" spans="2:41" ht="19.5" thickBot="1" x14ac:dyDescent="0.4">
      <c r="B4" s="422"/>
      <c r="C4" s="398"/>
      <c r="D4" s="5" t="s">
        <v>29</v>
      </c>
      <c r="E4" s="7" t="s">
        <v>26</v>
      </c>
      <c r="F4" s="7" t="s">
        <v>27</v>
      </c>
      <c r="G4" s="7" t="s">
        <v>28</v>
      </c>
      <c r="H4" s="9" t="s">
        <v>155</v>
      </c>
      <c r="I4" s="105" t="s">
        <v>31</v>
      </c>
      <c r="J4" s="424"/>
      <c r="K4" s="4" t="s">
        <v>0</v>
      </c>
      <c r="L4" s="2" t="s">
        <v>1</v>
      </c>
      <c r="M4" s="2" t="s">
        <v>2</v>
      </c>
      <c r="N4" s="2" t="s">
        <v>3</v>
      </c>
      <c r="O4" s="2" t="s">
        <v>4</v>
      </c>
      <c r="P4" s="2" t="s">
        <v>5</v>
      </c>
      <c r="Q4" s="2" t="s">
        <v>6</v>
      </c>
      <c r="R4" s="2" t="s">
        <v>7</v>
      </c>
      <c r="S4" s="2" t="s">
        <v>8</v>
      </c>
      <c r="T4" s="2" t="s">
        <v>9</v>
      </c>
      <c r="U4" s="2" t="s">
        <v>10</v>
      </c>
      <c r="V4" s="2" t="s">
        <v>11</v>
      </c>
      <c r="W4" s="2" t="s">
        <v>12</v>
      </c>
      <c r="X4" s="2" t="s">
        <v>13</v>
      </c>
      <c r="Y4" s="2" t="s">
        <v>14</v>
      </c>
      <c r="Z4" s="2" t="s">
        <v>15</v>
      </c>
      <c r="AA4" s="2" t="s">
        <v>16</v>
      </c>
      <c r="AB4" s="2" t="s">
        <v>17</v>
      </c>
      <c r="AC4" s="2" t="s">
        <v>18</v>
      </c>
      <c r="AD4" s="2" t="s">
        <v>19</v>
      </c>
      <c r="AE4" s="2" t="s">
        <v>20</v>
      </c>
      <c r="AF4" s="2" t="s">
        <v>21</v>
      </c>
      <c r="AG4" s="2" t="s">
        <v>22</v>
      </c>
      <c r="AH4" s="2" t="s">
        <v>23</v>
      </c>
      <c r="AI4" s="2" t="s">
        <v>24</v>
      </c>
      <c r="AJ4" s="3" t="s">
        <v>25</v>
      </c>
      <c r="AK4" s="387"/>
      <c r="AL4" s="35" t="s">
        <v>104</v>
      </c>
      <c r="AM4" s="70" t="s">
        <v>105</v>
      </c>
      <c r="AN4" s="68" t="s">
        <v>107</v>
      </c>
      <c r="AO4" s="87" t="s">
        <v>109</v>
      </c>
    </row>
    <row r="5" spans="2:41" ht="5.25" customHeight="1" x14ac:dyDescent="0.25">
      <c r="B5" s="36"/>
      <c r="C5" s="36"/>
      <c r="D5" s="37"/>
      <c r="E5" s="37"/>
      <c r="F5" s="37"/>
      <c r="G5" s="37"/>
      <c r="H5" s="37"/>
      <c r="I5" s="106"/>
      <c r="J5" s="40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40"/>
      <c r="AK5" s="21"/>
      <c r="AL5" s="71"/>
      <c r="AM5" s="72"/>
      <c r="AN5" s="84"/>
      <c r="AO5" s="73"/>
    </row>
    <row r="6" spans="2:41" hidden="1" x14ac:dyDescent="0.25">
      <c r="B6" s="41" t="s">
        <v>75</v>
      </c>
      <c r="C6" s="198" t="s">
        <v>39</v>
      </c>
      <c r="D6" s="42" t="s">
        <v>39</v>
      </c>
      <c r="E6" s="10" t="s">
        <v>41</v>
      </c>
      <c r="F6" s="42" t="s">
        <v>39</v>
      </c>
      <c r="G6" s="42" t="s">
        <v>39</v>
      </c>
      <c r="H6" s="42" t="s">
        <v>39</v>
      </c>
      <c r="I6" s="203" t="s">
        <v>39</v>
      </c>
      <c r="J6" s="46"/>
      <c r="K6" s="12">
        <v>0.15</v>
      </c>
      <c r="L6" s="12">
        <v>0.28000000000000003</v>
      </c>
      <c r="M6" s="12">
        <v>1.1100000000000001</v>
      </c>
      <c r="N6" s="1">
        <v>0.01</v>
      </c>
      <c r="O6" s="1">
        <v>1E-3</v>
      </c>
      <c r="P6" s="1">
        <v>0.28999999999999998</v>
      </c>
      <c r="Q6" s="12">
        <v>0.05</v>
      </c>
      <c r="R6" s="1">
        <v>0.17</v>
      </c>
      <c r="S6" s="1"/>
      <c r="T6" s="1"/>
      <c r="U6" s="1">
        <v>1.0999999999999999E-2</v>
      </c>
      <c r="V6" s="1">
        <v>1E-3</v>
      </c>
      <c r="W6" s="1">
        <v>0.01</v>
      </c>
      <c r="X6" s="1">
        <v>3.4000000000000002E-2</v>
      </c>
      <c r="Y6" s="15"/>
      <c r="Z6" s="15">
        <v>8.9999999999999993E-3</v>
      </c>
      <c r="AA6" s="1"/>
      <c r="AB6" s="1"/>
      <c r="AC6" s="1"/>
      <c r="AD6" s="1"/>
      <c r="AE6" s="1">
        <v>1E-3</v>
      </c>
      <c r="AF6" s="43"/>
      <c r="AG6" s="1"/>
      <c r="AH6" s="1"/>
      <c r="AI6" s="15"/>
      <c r="AJ6" s="44">
        <v>3.0000000000000001E-3</v>
      </c>
      <c r="AK6" s="79" t="s">
        <v>89</v>
      </c>
      <c r="AL6" s="74">
        <f>K6+M6/6+W6/15+Q6/15+P6/5+R6/5+U6/5</f>
        <v>0.43320000000000003</v>
      </c>
      <c r="AM6" s="13">
        <f>K6+L6/30+M6/20+W6/20+Q6/60+P6/20+R6/15+U6/10+5*AE6</f>
        <v>0.24809999999999996</v>
      </c>
      <c r="AN6" s="81">
        <f>K6+(0.75+0.25*TANH(20*(K6-0.12)))*(L6/24+M6/6+W6/15+Q6/20+P6/5+R6/5+V6/5+U6/5)</f>
        <v>0.4101794710657638</v>
      </c>
      <c r="AO6" s="85">
        <f>K6+M6/10+R6/10+P6/20+W6/20+Q6/40</f>
        <v>0.29425000000000001</v>
      </c>
    </row>
    <row r="7" spans="2:41" hidden="1" x14ac:dyDescent="0.25">
      <c r="B7" s="41" t="s">
        <v>75</v>
      </c>
      <c r="C7" s="198" t="s">
        <v>39</v>
      </c>
      <c r="D7" s="42" t="s">
        <v>39</v>
      </c>
      <c r="E7" s="10" t="s">
        <v>41</v>
      </c>
      <c r="F7" s="42" t="s">
        <v>39</v>
      </c>
      <c r="G7" s="42" t="s">
        <v>39</v>
      </c>
      <c r="H7" s="42" t="s">
        <v>39</v>
      </c>
      <c r="I7" s="203" t="s">
        <v>39</v>
      </c>
      <c r="J7" s="46"/>
      <c r="K7" s="12">
        <v>0.14000000000000001</v>
      </c>
      <c r="L7" s="12">
        <v>0.28999999999999998</v>
      </c>
      <c r="M7" s="12">
        <v>1.1499999999999999</v>
      </c>
      <c r="N7" s="1">
        <v>0.01</v>
      </c>
      <c r="O7" s="1">
        <v>1E-3</v>
      </c>
      <c r="P7" s="1">
        <v>0.31</v>
      </c>
      <c r="Q7" s="12">
        <v>0.05</v>
      </c>
      <c r="R7" s="1">
        <v>0.16</v>
      </c>
      <c r="S7" s="1"/>
      <c r="T7" s="1"/>
      <c r="U7" s="1">
        <v>1.0999999999999999E-2</v>
      </c>
      <c r="V7" s="1">
        <v>1E-3</v>
      </c>
      <c r="W7" s="1">
        <v>0.01</v>
      </c>
      <c r="X7" s="1">
        <v>3.4000000000000002E-2</v>
      </c>
      <c r="Y7" s="15"/>
      <c r="Z7" s="15">
        <v>8.9999999999999993E-3</v>
      </c>
      <c r="AA7" s="1"/>
      <c r="AB7" s="1"/>
      <c r="AC7" s="1"/>
      <c r="AD7" s="1"/>
      <c r="AE7" s="1">
        <v>1E-3</v>
      </c>
      <c r="AF7" s="43"/>
      <c r="AG7" s="1"/>
      <c r="AH7" s="1"/>
      <c r="AI7" s="15"/>
      <c r="AJ7" s="44">
        <v>3.0000000000000001E-3</v>
      </c>
      <c r="AK7" s="79" t="s">
        <v>89</v>
      </c>
      <c r="AL7" s="74">
        <f t="shared" ref="AL7:AL69" si="0">K7+M7/6+W7/15+Q7/15+P7/5+R7/5+U7/5</f>
        <v>0.43186666666666662</v>
      </c>
      <c r="AM7" s="13">
        <f t="shared" ref="AM7:AM69" si="1">K7+L7/30+M7/20+W7/20+Q7/60+P7/20+R7/15+U7/10+5*AE7</f>
        <v>0.24076666666666663</v>
      </c>
      <c r="AN7" s="81">
        <f t="shared" ref="AN7:AN69" si="2">K7+(0.75+0.25*TANH(20*(K7-0.12)))*(L7/24+M7/6+W7/15+Q7/20+P7/5+R7/5+V7/5+U7/5)</f>
        <v>0.39629871318367854</v>
      </c>
      <c r="AO7" s="85">
        <f t="shared" ref="AO7:AO69" si="3">K7+M7/10+R7/10+P7/20+W7/20+Q7/40</f>
        <v>0.28825000000000001</v>
      </c>
    </row>
    <row r="8" spans="2:41" hidden="1" x14ac:dyDescent="0.25">
      <c r="B8" s="41" t="s">
        <v>75</v>
      </c>
      <c r="C8" s="198" t="s">
        <v>39</v>
      </c>
      <c r="D8" s="42" t="s">
        <v>39</v>
      </c>
      <c r="E8" s="10" t="s">
        <v>41</v>
      </c>
      <c r="F8" s="42" t="s">
        <v>39</v>
      </c>
      <c r="G8" s="42" t="s">
        <v>39</v>
      </c>
      <c r="H8" s="42" t="s">
        <v>39</v>
      </c>
      <c r="I8" s="203" t="s">
        <v>39</v>
      </c>
      <c r="J8" s="46"/>
      <c r="K8" s="16">
        <v>0.14399999999999999</v>
      </c>
      <c r="L8" s="1">
        <v>0.27</v>
      </c>
      <c r="M8" s="1">
        <v>1.1100000000000001</v>
      </c>
      <c r="N8" s="1">
        <v>1.0999999999999999E-2</v>
      </c>
      <c r="O8" s="1" t="s">
        <v>96</v>
      </c>
      <c r="P8" s="1">
        <v>0.28000000000000003</v>
      </c>
      <c r="Q8" s="1">
        <v>5.0999999999999997E-2</v>
      </c>
      <c r="R8" s="1">
        <v>0.16</v>
      </c>
      <c r="S8" s="1" t="s">
        <v>97</v>
      </c>
      <c r="T8" s="1">
        <v>1.4E-2</v>
      </c>
      <c r="U8" s="1">
        <v>1.2E-2</v>
      </c>
      <c r="V8" s="1" t="s">
        <v>97</v>
      </c>
      <c r="W8" s="1">
        <v>8.9999999999999993E-3</v>
      </c>
      <c r="X8" s="1">
        <v>4.4999999999999998E-2</v>
      </c>
      <c r="Y8" s="1">
        <v>2E-3</v>
      </c>
      <c r="Z8" s="1">
        <v>8.0000000000000002E-3</v>
      </c>
      <c r="AA8" s="1" t="s">
        <v>50</v>
      </c>
      <c r="AB8" s="1" t="s">
        <v>98</v>
      </c>
      <c r="AC8" s="1" t="s">
        <v>97</v>
      </c>
      <c r="AD8" s="1" t="s">
        <v>97</v>
      </c>
      <c r="AE8" s="43">
        <v>1E-3</v>
      </c>
      <c r="AF8" s="15" t="s">
        <v>97</v>
      </c>
      <c r="AG8" s="43">
        <v>1E-3</v>
      </c>
      <c r="AI8" s="15">
        <v>1.4E-3</v>
      </c>
      <c r="AJ8" s="44">
        <v>2.3E-3</v>
      </c>
      <c r="AK8" s="79" t="s">
        <v>95</v>
      </c>
      <c r="AL8" s="74">
        <f t="shared" si="0"/>
        <v>0.42340000000000005</v>
      </c>
      <c r="AM8" s="13">
        <f t="shared" si="1"/>
        <v>0.2406666666666667</v>
      </c>
      <c r="AN8" s="81">
        <f>K8+(0.75+0.25*TANH(20*(K8-0.12)))*(L8/24+M8/6+W8/15+Q8/20+P8/5+R8/5+0.005/5+U8/5)</f>
        <v>0.39454191046508624</v>
      </c>
      <c r="AO8" s="85">
        <f t="shared" si="3"/>
        <v>0.28672500000000006</v>
      </c>
    </row>
    <row r="9" spans="2:41" hidden="1" x14ac:dyDescent="0.25">
      <c r="B9" s="41" t="s">
        <v>75</v>
      </c>
      <c r="C9" s="198" t="s">
        <v>39</v>
      </c>
      <c r="D9" s="42" t="s">
        <v>39</v>
      </c>
      <c r="E9" s="10" t="s">
        <v>42</v>
      </c>
      <c r="F9" s="42" t="s">
        <v>39</v>
      </c>
      <c r="G9" s="42" t="s">
        <v>39</v>
      </c>
      <c r="H9" s="42" t="s">
        <v>39</v>
      </c>
      <c r="I9" s="203" t="s">
        <v>39</v>
      </c>
      <c r="J9" s="46"/>
      <c r="K9" s="12">
        <v>0.16</v>
      </c>
      <c r="L9" s="12">
        <v>0.23</v>
      </c>
      <c r="M9" s="12">
        <v>1.26</v>
      </c>
      <c r="N9" s="1">
        <v>8.0000000000000002E-3</v>
      </c>
      <c r="O9" s="1">
        <v>1E-3</v>
      </c>
      <c r="P9" s="1">
        <v>0.2</v>
      </c>
      <c r="Q9" s="45">
        <v>0.05</v>
      </c>
      <c r="R9" s="1">
        <v>0.60499999999999998</v>
      </c>
      <c r="S9" s="1"/>
      <c r="T9" s="1"/>
      <c r="U9" s="1">
        <v>0.04</v>
      </c>
      <c r="V9" s="1">
        <v>0.15</v>
      </c>
      <c r="W9" s="1">
        <v>0.01</v>
      </c>
      <c r="X9" s="1">
        <v>5.3999999999999999E-2</v>
      </c>
      <c r="Y9" s="15"/>
      <c r="Z9" s="15">
        <v>3.0000000000000001E-3</v>
      </c>
      <c r="AA9" s="1"/>
      <c r="AB9" s="1"/>
      <c r="AC9" s="1"/>
      <c r="AD9" s="1"/>
      <c r="AE9" s="1">
        <v>1E-3</v>
      </c>
      <c r="AF9" s="43"/>
      <c r="AG9" s="1"/>
      <c r="AH9" s="1"/>
      <c r="AI9" s="15"/>
      <c r="AJ9" s="44">
        <v>3.0000000000000001E-3</v>
      </c>
      <c r="AK9" s="79" t="s">
        <v>89</v>
      </c>
      <c r="AL9" s="74">
        <f t="shared" si="0"/>
        <v>0.54299999999999993</v>
      </c>
      <c r="AM9" s="13">
        <f t="shared" si="1"/>
        <v>0.29133333333333333</v>
      </c>
      <c r="AN9" s="81">
        <f t="shared" si="2"/>
        <v>0.54632687696511628</v>
      </c>
      <c r="AO9" s="85">
        <f t="shared" si="3"/>
        <v>0.35825000000000001</v>
      </c>
    </row>
    <row r="10" spans="2:41" hidden="1" x14ac:dyDescent="0.25">
      <c r="B10" s="41" t="s">
        <v>75</v>
      </c>
      <c r="C10" s="198" t="s">
        <v>39</v>
      </c>
      <c r="D10" s="42" t="s">
        <v>39</v>
      </c>
      <c r="E10" s="10" t="s">
        <v>42</v>
      </c>
      <c r="F10" s="42" t="s">
        <v>39</v>
      </c>
      <c r="G10" s="42" t="s">
        <v>39</v>
      </c>
      <c r="H10" s="42" t="s">
        <v>39</v>
      </c>
      <c r="I10" s="203" t="s">
        <v>39</v>
      </c>
      <c r="J10" s="46"/>
      <c r="K10" s="12">
        <v>0.16</v>
      </c>
      <c r="L10" s="12">
        <v>0.23</v>
      </c>
      <c r="M10" s="12">
        <v>1.26</v>
      </c>
      <c r="N10" s="1">
        <v>8.0000000000000002E-3</v>
      </c>
      <c r="O10" s="1">
        <v>1E-3</v>
      </c>
      <c r="P10" s="1">
        <v>0.2</v>
      </c>
      <c r="Q10" s="45">
        <v>0.05</v>
      </c>
      <c r="R10" s="1">
        <v>0.60499999999999998</v>
      </c>
      <c r="S10" s="1"/>
      <c r="T10" s="1"/>
      <c r="U10" s="1">
        <v>0.04</v>
      </c>
      <c r="V10" s="1">
        <v>0.15</v>
      </c>
      <c r="W10" s="1">
        <v>0.01</v>
      </c>
      <c r="X10" s="1">
        <v>5.3999999999999999E-2</v>
      </c>
      <c r="Y10" s="15"/>
      <c r="Z10" s="15">
        <v>3.0000000000000001E-3</v>
      </c>
      <c r="AA10" s="1"/>
      <c r="AB10" s="1"/>
      <c r="AC10" s="1"/>
      <c r="AD10" s="1"/>
      <c r="AE10" s="1">
        <v>1E-3</v>
      </c>
      <c r="AF10" s="43"/>
      <c r="AG10" s="1"/>
      <c r="AH10" s="1"/>
      <c r="AI10" s="15"/>
      <c r="AJ10" s="44">
        <v>3.0000000000000001E-3</v>
      </c>
      <c r="AK10" s="79" t="s">
        <v>89</v>
      </c>
      <c r="AL10" s="74">
        <f t="shared" si="0"/>
        <v>0.54299999999999993</v>
      </c>
      <c r="AM10" s="13">
        <f t="shared" si="1"/>
        <v>0.29133333333333333</v>
      </c>
      <c r="AN10" s="81">
        <f t="shared" si="2"/>
        <v>0.54632687696511628</v>
      </c>
      <c r="AO10" s="85">
        <f t="shared" si="3"/>
        <v>0.35825000000000001</v>
      </c>
    </row>
    <row r="11" spans="2:41" hidden="1" x14ac:dyDescent="0.25">
      <c r="B11" s="41" t="s">
        <v>75</v>
      </c>
      <c r="C11" s="198" t="s">
        <v>39</v>
      </c>
      <c r="D11" s="42" t="s">
        <v>39</v>
      </c>
      <c r="E11" s="10" t="s">
        <v>42</v>
      </c>
      <c r="F11" s="42" t="s">
        <v>39</v>
      </c>
      <c r="G11" s="42" t="s">
        <v>39</v>
      </c>
      <c r="H11" s="42" t="s">
        <v>39</v>
      </c>
      <c r="I11" s="203" t="s">
        <v>39</v>
      </c>
      <c r="J11" s="46"/>
      <c r="K11" s="16">
        <v>0.16900000000000001</v>
      </c>
      <c r="L11" s="1">
        <v>0.21</v>
      </c>
      <c r="M11" s="1">
        <v>1.21</v>
      </c>
      <c r="N11" s="1">
        <v>8.0000000000000002E-3</v>
      </c>
      <c r="O11" s="1" t="s">
        <v>96</v>
      </c>
      <c r="P11" s="1">
        <v>0.19</v>
      </c>
      <c r="Q11" s="1">
        <v>4.3999999999999997E-2</v>
      </c>
      <c r="R11" s="1">
        <v>0.61</v>
      </c>
      <c r="S11" s="1" t="s">
        <v>97</v>
      </c>
      <c r="T11" s="1">
        <v>1.4E-2</v>
      </c>
      <c r="U11" s="1">
        <v>3.7999999999999999E-2</v>
      </c>
      <c r="V11" s="1">
        <v>1.4E-2</v>
      </c>
      <c r="W11" s="1">
        <v>8.0000000000000002E-3</v>
      </c>
      <c r="X11" s="1">
        <v>5.0999999999999997E-2</v>
      </c>
      <c r="Y11" s="1">
        <v>2E-3</v>
      </c>
      <c r="Z11" s="15">
        <v>3.0999999999999999E-3</v>
      </c>
      <c r="AA11" s="1" t="s">
        <v>50</v>
      </c>
      <c r="AB11" s="1" t="s">
        <v>98</v>
      </c>
      <c r="AC11" s="1" t="s">
        <v>97</v>
      </c>
      <c r="AD11" s="1" t="s">
        <v>97</v>
      </c>
      <c r="AE11" s="1">
        <v>8.9999999999999998E-4</v>
      </c>
      <c r="AF11" s="15" t="s">
        <v>97</v>
      </c>
      <c r="AG11" s="1">
        <v>6.9999999999999999E-4</v>
      </c>
      <c r="AI11" s="15">
        <v>1.2999999999999999E-3</v>
      </c>
      <c r="AJ11" s="44">
        <v>3.2000000000000002E-3</v>
      </c>
      <c r="AK11" s="79" t="s">
        <v>95</v>
      </c>
      <c r="AL11" s="74">
        <f t="shared" si="0"/>
        <v>0.5417333333333334</v>
      </c>
      <c r="AM11" s="13">
        <f t="shared" si="1"/>
        <v>0.29610000000000009</v>
      </c>
      <c r="AN11" s="81">
        <f t="shared" si="2"/>
        <v>0.52887210695317921</v>
      </c>
      <c r="AO11" s="85">
        <f t="shared" si="3"/>
        <v>0.36200000000000004</v>
      </c>
    </row>
    <row r="12" spans="2:41" ht="6.75" hidden="1" customHeight="1" x14ac:dyDescent="0.25">
      <c r="B12" s="41"/>
      <c r="C12" s="41"/>
      <c r="E12" s="42"/>
      <c r="G12" s="8"/>
      <c r="I12" s="53"/>
      <c r="J12" s="46"/>
      <c r="K12" s="15"/>
      <c r="L12" s="12"/>
      <c r="M12" s="12"/>
      <c r="N12" s="1"/>
      <c r="O12" s="1"/>
      <c r="P12" s="1"/>
      <c r="Q12" s="45"/>
      <c r="R12" s="1"/>
      <c r="S12" s="1"/>
      <c r="T12" s="1"/>
      <c r="U12" s="1"/>
      <c r="V12" s="1"/>
      <c r="W12" s="1"/>
      <c r="X12" s="1"/>
      <c r="Y12" s="15"/>
      <c r="Z12" s="15"/>
      <c r="AA12" s="1"/>
      <c r="AB12" s="1"/>
      <c r="AC12" s="1"/>
      <c r="AD12" s="1"/>
      <c r="AE12" s="1"/>
      <c r="AF12" s="43"/>
      <c r="AG12" s="1"/>
      <c r="AH12" s="1"/>
      <c r="AI12" s="15"/>
      <c r="AJ12" s="44"/>
      <c r="AK12" s="21"/>
      <c r="AL12" s="74"/>
      <c r="AM12" s="13"/>
      <c r="AN12" s="81"/>
      <c r="AO12" s="85"/>
    </row>
    <row r="13" spans="2:41" hidden="1" x14ac:dyDescent="0.25">
      <c r="B13" s="41" t="s">
        <v>74</v>
      </c>
      <c r="C13" s="41" t="s">
        <v>34</v>
      </c>
      <c r="D13" s="1">
        <v>3488</v>
      </c>
      <c r="E13" s="42" t="s">
        <v>39</v>
      </c>
      <c r="F13" s="1" t="s">
        <v>37</v>
      </c>
      <c r="G13" s="8" t="s">
        <v>40</v>
      </c>
      <c r="H13" s="42" t="s">
        <v>39</v>
      </c>
      <c r="I13" s="53">
        <v>7</v>
      </c>
      <c r="J13" s="46"/>
      <c r="K13" s="15">
        <v>5.2999999999999999E-2</v>
      </c>
      <c r="L13" s="12">
        <v>0.33</v>
      </c>
      <c r="M13" s="12">
        <v>2.2000000000000002</v>
      </c>
      <c r="N13" s="1">
        <v>8.0000000000000002E-3</v>
      </c>
      <c r="O13" s="1">
        <v>5.0000000000000001E-3</v>
      </c>
      <c r="P13" s="1">
        <v>0.51</v>
      </c>
      <c r="Q13" s="45">
        <v>3.3</v>
      </c>
      <c r="R13" s="1">
        <v>0.62</v>
      </c>
      <c r="S13" s="1">
        <v>5.0000000000000001E-3</v>
      </c>
      <c r="T13" s="1">
        <v>1.7000000000000001E-2</v>
      </c>
      <c r="U13" s="1">
        <v>1.6E-2</v>
      </c>
      <c r="V13" s="1">
        <v>8.9999999999999993E-3</v>
      </c>
      <c r="W13" s="1">
        <v>8.9999999999999993E-3</v>
      </c>
      <c r="X13" s="1">
        <v>4.0000000000000001E-3</v>
      </c>
      <c r="Y13" s="15">
        <v>2E-3</v>
      </c>
      <c r="Z13" s="15">
        <v>1.2999999999999999E-2</v>
      </c>
      <c r="AA13" s="1" t="s">
        <v>46</v>
      </c>
      <c r="AB13" s="1">
        <v>4.0000000000000001E-3</v>
      </c>
      <c r="AC13" s="1">
        <v>2E-3</v>
      </c>
      <c r="AD13" s="1" t="s">
        <v>47</v>
      </c>
      <c r="AE13" s="1" t="s">
        <v>48</v>
      </c>
      <c r="AF13" s="43">
        <v>4.0000000000000001E-3</v>
      </c>
      <c r="AG13" s="1">
        <v>2.0000000000000001E-4</v>
      </c>
      <c r="AH13" s="1">
        <v>8.9999999999999998E-4</v>
      </c>
      <c r="AI13" s="15">
        <v>2.4E-2</v>
      </c>
      <c r="AJ13" s="44">
        <v>0.01</v>
      </c>
      <c r="AK13" s="425" t="s">
        <v>71</v>
      </c>
      <c r="AL13" s="74">
        <f t="shared" si="0"/>
        <v>0.86946666666666661</v>
      </c>
      <c r="AM13" s="13">
        <f>K13+L13/30+M13/20+W13/20+Q13/60+P13/20+R13/15+U13/10+0.0002</f>
        <v>0.29808333333333331</v>
      </c>
      <c r="AN13" s="81">
        <f t="shared" si="2"/>
        <v>0.46643653401571339</v>
      </c>
      <c r="AO13" s="85">
        <f t="shared" si="3"/>
        <v>0.44345000000000001</v>
      </c>
    </row>
    <row r="14" spans="2:41" hidden="1" x14ac:dyDescent="0.25">
      <c r="B14" s="41" t="s">
        <v>74</v>
      </c>
      <c r="C14" s="41" t="s">
        <v>34</v>
      </c>
      <c r="D14" s="1">
        <v>3489</v>
      </c>
      <c r="E14" s="42" t="s">
        <v>39</v>
      </c>
      <c r="F14" s="1" t="s">
        <v>37</v>
      </c>
      <c r="G14" s="8" t="s">
        <v>40</v>
      </c>
      <c r="H14" s="42" t="s">
        <v>39</v>
      </c>
      <c r="I14" s="53">
        <v>11</v>
      </c>
      <c r="J14" s="46"/>
      <c r="K14" s="15">
        <v>5.6000000000000001E-2</v>
      </c>
      <c r="L14" s="12">
        <v>0.37</v>
      </c>
      <c r="M14" s="12">
        <v>2.2799999999999998</v>
      </c>
      <c r="N14" s="1">
        <v>8.0000000000000002E-3</v>
      </c>
      <c r="O14" s="1">
        <v>5.0000000000000001E-3</v>
      </c>
      <c r="P14" s="1">
        <v>0.53</v>
      </c>
      <c r="Q14" s="45">
        <v>3.4</v>
      </c>
      <c r="R14" s="1">
        <v>0.62</v>
      </c>
      <c r="S14" s="1">
        <v>5.0000000000000001E-3</v>
      </c>
      <c r="T14" s="1">
        <v>1.7000000000000001E-2</v>
      </c>
      <c r="U14" s="1">
        <v>1.6E-2</v>
      </c>
      <c r="V14" s="1">
        <v>8.9999999999999993E-3</v>
      </c>
      <c r="W14" s="1">
        <v>8.9999999999999993E-3</v>
      </c>
      <c r="X14" s="1">
        <v>4.0000000000000001E-3</v>
      </c>
      <c r="Y14" s="15">
        <v>2E-3</v>
      </c>
      <c r="Z14" s="15">
        <v>1.4999999999999999E-2</v>
      </c>
      <c r="AA14" s="1" t="s">
        <v>46</v>
      </c>
      <c r="AB14" s="1">
        <v>4.0000000000000001E-3</v>
      </c>
      <c r="AC14" s="1">
        <v>2E-3</v>
      </c>
      <c r="AD14" s="1" t="s">
        <v>47</v>
      </c>
      <c r="AE14" s="1" t="s">
        <v>48</v>
      </c>
      <c r="AF14" s="43">
        <v>4.0000000000000001E-3</v>
      </c>
      <c r="AG14" s="1">
        <v>2.0000000000000001E-4</v>
      </c>
      <c r="AH14" s="1">
        <v>8.9999999999999998E-4</v>
      </c>
      <c r="AI14" s="15">
        <v>2.8000000000000001E-2</v>
      </c>
      <c r="AJ14" s="44">
        <v>8.9999999999999993E-3</v>
      </c>
      <c r="AK14" s="425"/>
      <c r="AL14" s="74">
        <f t="shared" si="0"/>
        <v>0.89646666666666652</v>
      </c>
      <c r="AM14" s="13">
        <f t="shared" ref="AM14:AM16" si="4">K14+L14/30+M14/20+W14/20+Q14/60+P14/20+R14/15+U14/10+0.0002</f>
        <v>0.30908333333333332</v>
      </c>
      <c r="AN14" s="81">
        <f t="shared" si="2"/>
        <v>0.48524782698948454</v>
      </c>
      <c r="AO14" s="85">
        <f t="shared" si="3"/>
        <v>0.45794999999999997</v>
      </c>
    </row>
    <row r="15" spans="2:41" hidden="1" x14ac:dyDescent="0.25">
      <c r="B15" s="41" t="s">
        <v>74</v>
      </c>
      <c r="C15" s="41" t="s">
        <v>34</v>
      </c>
      <c r="D15" s="1">
        <v>3490</v>
      </c>
      <c r="E15" s="42" t="s">
        <v>39</v>
      </c>
      <c r="F15" s="1" t="s">
        <v>38</v>
      </c>
      <c r="G15" s="8" t="s">
        <v>40</v>
      </c>
      <c r="H15" s="42" t="s">
        <v>39</v>
      </c>
      <c r="I15" s="53">
        <v>7</v>
      </c>
      <c r="J15" s="46"/>
      <c r="K15" s="12">
        <v>0.1</v>
      </c>
      <c r="L15" s="12">
        <v>0.4</v>
      </c>
      <c r="M15" s="12">
        <v>0.97</v>
      </c>
      <c r="N15" s="1">
        <v>8.0000000000000002E-3</v>
      </c>
      <c r="O15" s="1">
        <v>2E-3</v>
      </c>
      <c r="P15" s="1">
        <v>0.64</v>
      </c>
      <c r="Q15" s="45">
        <v>3.3</v>
      </c>
      <c r="R15" s="1">
        <v>0.86</v>
      </c>
      <c r="S15" s="1">
        <v>3.0000000000000001E-3</v>
      </c>
      <c r="T15" s="1">
        <v>1.6E-2</v>
      </c>
      <c r="U15" s="1">
        <v>4.0000000000000001E-3</v>
      </c>
      <c r="V15" s="1">
        <v>7.0000000000000001E-3</v>
      </c>
      <c r="W15" s="1">
        <v>1.7000000000000001E-2</v>
      </c>
      <c r="X15" s="1">
        <v>3.0000000000000001E-3</v>
      </c>
      <c r="Y15" s="15">
        <v>2E-3</v>
      </c>
      <c r="Z15" s="15">
        <v>1.7999999999999999E-2</v>
      </c>
      <c r="AA15" s="1" t="s">
        <v>46</v>
      </c>
      <c r="AB15" s="1">
        <v>3.0000000000000001E-3</v>
      </c>
      <c r="AC15" s="1">
        <v>1E-3</v>
      </c>
      <c r="AD15" s="1" t="s">
        <v>47</v>
      </c>
      <c r="AE15" s="1" t="s">
        <v>48</v>
      </c>
      <c r="AF15" s="43">
        <v>3.0000000000000001E-3</v>
      </c>
      <c r="AG15" s="1">
        <v>2.0000000000000001E-4</v>
      </c>
      <c r="AH15" s="1">
        <v>6.9999999999999999E-4</v>
      </c>
      <c r="AI15" s="15">
        <v>2.1000000000000001E-2</v>
      </c>
      <c r="AJ15" s="44">
        <v>1.0999999999999999E-2</v>
      </c>
      <c r="AK15" s="425"/>
      <c r="AL15" s="74">
        <f t="shared" si="0"/>
        <v>0.78359999999999996</v>
      </c>
      <c r="AM15" s="13">
        <f t="shared" si="4"/>
        <v>0.30761666666666665</v>
      </c>
      <c r="AN15" s="81">
        <f t="shared" si="2"/>
        <v>0.52357491776873866</v>
      </c>
      <c r="AO15" s="85">
        <f t="shared" si="3"/>
        <v>0.39835000000000009</v>
      </c>
    </row>
    <row r="16" spans="2:41" hidden="1" x14ac:dyDescent="0.25">
      <c r="B16" s="41" t="s">
        <v>74</v>
      </c>
      <c r="C16" s="41" t="s">
        <v>34</v>
      </c>
      <c r="D16" s="1">
        <v>3491</v>
      </c>
      <c r="E16" s="42" t="s">
        <v>39</v>
      </c>
      <c r="F16" s="1" t="s">
        <v>38</v>
      </c>
      <c r="G16" s="8" t="s">
        <v>40</v>
      </c>
      <c r="H16" s="42" t="s">
        <v>39</v>
      </c>
      <c r="I16" s="53">
        <v>11</v>
      </c>
      <c r="J16" s="46"/>
      <c r="K16" s="12">
        <v>0.11</v>
      </c>
      <c r="L16" s="12">
        <v>0.44</v>
      </c>
      <c r="M16" s="12">
        <v>0.98</v>
      </c>
      <c r="N16" s="1">
        <v>8.0000000000000002E-3</v>
      </c>
      <c r="O16" s="1">
        <v>2E-3</v>
      </c>
      <c r="P16" s="1">
        <v>0.63</v>
      </c>
      <c r="Q16" s="45">
        <v>3.3</v>
      </c>
      <c r="R16" s="1">
        <v>0.85</v>
      </c>
      <c r="S16" s="1">
        <v>3.0000000000000001E-3</v>
      </c>
      <c r="T16" s="1">
        <v>1.7000000000000001E-2</v>
      </c>
      <c r="U16" s="1">
        <v>3.0000000000000001E-3</v>
      </c>
      <c r="V16" s="1">
        <v>6.0000000000000001E-3</v>
      </c>
      <c r="W16" s="1">
        <v>1.7000000000000001E-2</v>
      </c>
      <c r="X16" s="1">
        <v>3.0000000000000001E-3</v>
      </c>
      <c r="Y16" s="15">
        <v>2E-3</v>
      </c>
      <c r="Z16" s="15">
        <v>2.3E-2</v>
      </c>
      <c r="AA16" s="1" t="s">
        <v>46</v>
      </c>
      <c r="AB16" s="1">
        <v>3.0000000000000001E-3</v>
      </c>
      <c r="AC16" s="1">
        <v>1E-3</v>
      </c>
      <c r="AD16" s="1" t="s">
        <v>47</v>
      </c>
      <c r="AE16" s="1" t="s">
        <v>48</v>
      </c>
      <c r="AF16" s="43">
        <v>2E-3</v>
      </c>
      <c r="AG16" s="1">
        <v>2.0000000000000001E-4</v>
      </c>
      <c r="AH16" s="1">
        <v>6.9999999999999999E-4</v>
      </c>
      <c r="AI16" s="15">
        <v>1.7999999999999999E-2</v>
      </c>
      <c r="AJ16" s="44">
        <v>7.0000000000000001E-3</v>
      </c>
      <c r="AK16" s="425"/>
      <c r="AL16" s="74">
        <f t="shared" si="0"/>
        <v>0.7910666666666667</v>
      </c>
      <c r="AM16" s="13">
        <f t="shared" si="4"/>
        <v>0.31818333333333332</v>
      </c>
      <c r="AN16" s="81">
        <f t="shared" si="2"/>
        <v>0.56234362331570042</v>
      </c>
      <c r="AO16" s="85">
        <f t="shared" si="3"/>
        <v>0.40785000000000005</v>
      </c>
    </row>
    <row r="17" spans="2:41" ht="6.75" hidden="1" customHeight="1" x14ac:dyDescent="0.25">
      <c r="B17" s="41"/>
      <c r="C17" s="41"/>
      <c r="E17" s="42"/>
      <c r="G17" s="202"/>
      <c r="I17" s="53"/>
      <c r="J17" s="46"/>
      <c r="K17" s="15"/>
      <c r="L17" s="12"/>
      <c r="M17" s="12"/>
      <c r="N17" s="1"/>
      <c r="O17" s="1"/>
      <c r="P17" s="1"/>
      <c r="Q17" s="45"/>
      <c r="R17" s="1"/>
      <c r="S17" s="1"/>
      <c r="T17" s="1"/>
      <c r="U17" s="1"/>
      <c r="V17" s="1"/>
      <c r="W17" s="1"/>
      <c r="X17" s="1"/>
      <c r="Y17" s="15"/>
      <c r="Z17" s="15"/>
      <c r="AA17" s="1"/>
      <c r="AB17" s="1"/>
      <c r="AC17" s="1"/>
      <c r="AD17" s="1"/>
      <c r="AE17" s="1"/>
      <c r="AF17" s="43"/>
      <c r="AG17" s="1"/>
      <c r="AH17" s="1"/>
      <c r="AI17" s="15"/>
      <c r="AJ17" s="44"/>
      <c r="AK17" s="21"/>
      <c r="AL17" s="74"/>
      <c r="AM17" s="13"/>
      <c r="AN17" s="81"/>
      <c r="AO17" s="85"/>
    </row>
    <row r="18" spans="2:41" ht="15" customHeight="1" x14ac:dyDescent="0.25">
      <c r="B18" s="41"/>
      <c r="C18" s="116" t="s">
        <v>34</v>
      </c>
      <c r="D18" s="10">
        <v>3670</v>
      </c>
      <c r="E18" s="10" t="s">
        <v>41</v>
      </c>
      <c r="F18" s="10" t="s">
        <v>37</v>
      </c>
      <c r="G18" s="10" t="s">
        <v>43</v>
      </c>
      <c r="H18" s="162"/>
      <c r="I18" s="77" t="s">
        <v>44</v>
      </c>
      <c r="J18" s="46"/>
      <c r="K18" s="15">
        <v>6.7000000000000004E-2</v>
      </c>
      <c r="L18" s="12">
        <v>0.39</v>
      </c>
      <c r="M18" s="12">
        <v>2.25</v>
      </c>
      <c r="N18" s="1">
        <v>8.0000000000000002E-3</v>
      </c>
      <c r="O18" s="1">
        <v>4.0000000000000001E-3</v>
      </c>
      <c r="P18" s="1">
        <v>0.49</v>
      </c>
      <c r="Q18" s="45">
        <v>3.2</v>
      </c>
      <c r="R18" s="1">
        <v>0.59</v>
      </c>
      <c r="S18" s="1">
        <v>4.0000000000000001E-3</v>
      </c>
      <c r="T18" s="1">
        <v>1.7000000000000001E-2</v>
      </c>
      <c r="U18" s="1">
        <v>1.6E-2</v>
      </c>
      <c r="V18" s="1">
        <v>1.0999999999999999E-2</v>
      </c>
      <c r="W18" s="1">
        <v>8.0000000000000002E-3</v>
      </c>
      <c r="X18" s="1">
        <v>5.0000000000000001E-3</v>
      </c>
      <c r="Y18" s="15">
        <v>2E-3</v>
      </c>
      <c r="Z18" s="15">
        <v>1.6E-2</v>
      </c>
      <c r="AA18" s="1" t="s">
        <v>46</v>
      </c>
      <c r="AB18" s="1">
        <v>4.0000000000000001E-3</v>
      </c>
      <c r="AC18" s="1">
        <v>2E-3</v>
      </c>
      <c r="AD18" s="1" t="s">
        <v>47</v>
      </c>
      <c r="AE18" s="1">
        <v>1E-4</v>
      </c>
      <c r="AF18" s="43">
        <v>4.0000000000000001E-3</v>
      </c>
      <c r="AG18" s="1">
        <v>2.0000000000000001E-4</v>
      </c>
      <c r="AH18" s="1">
        <v>5.9999999999999995E-4</v>
      </c>
      <c r="AI18" s="15">
        <v>0.03</v>
      </c>
      <c r="AJ18" s="44">
        <v>1.4E-2</v>
      </c>
      <c r="AK18" s="425" t="s">
        <v>70</v>
      </c>
      <c r="AL18" s="190">
        <f t="shared" si="0"/>
        <v>0.87506666666666666</v>
      </c>
      <c r="AM18" s="13">
        <f t="shared" si="1"/>
        <v>0.3121666666666667</v>
      </c>
      <c r="AN18" s="81">
        <f t="shared" si="2"/>
        <v>0.49502194964950441</v>
      </c>
      <c r="AO18" s="205">
        <f t="shared" si="3"/>
        <v>0.45590000000000008</v>
      </c>
    </row>
    <row r="19" spans="2:41" x14ac:dyDescent="0.25">
      <c r="B19" s="41"/>
      <c r="C19" s="116" t="s">
        <v>34</v>
      </c>
      <c r="D19" s="10">
        <v>3671</v>
      </c>
      <c r="E19" s="10" t="s">
        <v>41</v>
      </c>
      <c r="F19" s="10" t="s">
        <v>37</v>
      </c>
      <c r="G19" s="10" t="s">
        <v>43</v>
      </c>
      <c r="H19" s="162"/>
      <c r="I19" s="77">
        <v>7</v>
      </c>
      <c r="J19" s="46"/>
      <c r="K19" s="15">
        <v>6.7000000000000004E-2</v>
      </c>
      <c r="L19" s="12">
        <v>0.36</v>
      </c>
      <c r="M19" s="12">
        <v>2.09</v>
      </c>
      <c r="N19" s="1">
        <v>6.0000000000000001E-3</v>
      </c>
      <c r="O19" s="1">
        <v>4.0000000000000001E-3</v>
      </c>
      <c r="P19" s="1">
        <v>0.51</v>
      </c>
      <c r="Q19" s="45">
        <v>3.1</v>
      </c>
      <c r="R19" s="1">
        <v>0.57999999999999996</v>
      </c>
      <c r="S19" s="1">
        <v>4.0000000000000001E-3</v>
      </c>
      <c r="T19" s="1">
        <v>8.0000000000000002E-3</v>
      </c>
      <c r="U19" s="1">
        <v>1.4E-2</v>
      </c>
      <c r="V19" s="1">
        <v>8.0000000000000002E-3</v>
      </c>
      <c r="W19" s="1">
        <v>1.7999999999999999E-2</v>
      </c>
      <c r="X19" s="1">
        <v>5.0000000000000001E-3</v>
      </c>
      <c r="Y19" s="15">
        <v>3.0000000000000001E-3</v>
      </c>
      <c r="Z19" s="15">
        <v>1.4999999999999999E-2</v>
      </c>
      <c r="AA19" s="1" t="s">
        <v>46</v>
      </c>
      <c r="AB19" s="1">
        <v>4.0000000000000001E-3</v>
      </c>
      <c r="AC19" s="1">
        <v>2E-3</v>
      </c>
      <c r="AD19" s="1" t="s">
        <v>47</v>
      </c>
      <c r="AE19" s="1">
        <v>2.0000000000000001E-4</v>
      </c>
      <c r="AF19" s="43">
        <v>4.0000000000000001E-3</v>
      </c>
      <c r="AG19" s="1">
        <v>2.0000000000000001E-4</v>
      </c>
      <c r="AH19" s="1">
        <v>5.0000000000000001E-4</v>
      </c>
      <c r="AI19" s="15">
        <v>1.0999999999999999E-2</v>
      </c>
      <c r="AJ19" s="44">
        <v>5.0000000000000001E-3</v>
      </c>
      <c r="AK19" s="425"/>
      <c r="AL19" s="74">
        <f t="shared" si="0"/>
        <v>0.84399999999999997</v>
      </c>
      <c r="AM19" s="13">
        <f t="shared" si="1"/>
        <v>0.30263333333333337</v>
      </c>
      <c r="AN19" s="81">
        <f t="shared" si="2"/>
        <v>0.47772244854815243</v>
      </c>
      <c r="AO19" s="85">
        <f t="shared" si="3"/>
        <v>0.43790000000000007</v>
      </c>
    </row>
    <row r="20" spans="2:41" x14ac:dyDescent="0.25">
      <c r="B20" s="41"/>
      <c r="C20" s="116" t="s">
        <v>34</v>
      </c>
      <c r="D20" s="10">
        <v>4790</v>
      </c>
      <c r="E20" s="10" t="s">
        <v>41</v>
      </c>
      <c r="F20" s="10" t="s">
        <v>37</v>
      </c>
      <c r="G20" s="10" t="s">
        <v>43</v>
      </c>
      <c r="H20" s="162"/>
      <c r="I20" s="77" t="s">
        <v>45</v>
      </c>
      <c r="J20" s="46"/>
      <c r="K20" s="15">
        <v>6.3E-2</v>
      </c>
      <c r="L20" s="12">
        <v>0.34</v>
      </c>
      <c r="M20" s="12">
        <v>2.16</v>
      </c>
      <c r="N20" s="1">
        <v>6.0000000000000001E-3</v>
      </c>
      <c r="O20" s="1">
        <v>4.0000000000000001E-3</v>
      </c>
      <c r="P20" s="1">
        <v>0.53</v>
      </c>
      <c r="Q20" s="45">
        <v>3.1</v>
      </c>
      <c r="R20" s="1">
        <v>0.59</v>
      </c>
      <c r="S20" s="1">
        <v>5.0000000000000001E-3</v>
      </c>
      <c r="T20" s="1">
        <v>8.0000000000000002E-3</v>
      </c>
      <c r="U20" s="1">
        <v>1.4E-2</v>
      </c>
      <c r="V20" s="1">
        <v>8.9999999999999993E-3</v>
      </c>
      <c r="W20" s="1">
        <v>1.9E-2</v>
      </c>
      <c r="X20" s="1">
        <v>5.0000000000000001E-3</v>
      </c>
      <c r="Y20" s="15">
        <v>3.0000000000000001E-3</v>
      </c>
      <c r="Z20" s="15">
        <v>1.4E-2</v>
      </c>
      <c r="AA20" s="1" t="s">
        <v>49</v>
      </c>
      <c r="AB20" s="1">
        <v>4.0000000000000001E-3</v>
      </c>
      <c r="AC20" s="1">
        <v>2E-3</v>
      </c>
      <c r="AD20" s="1" t="s">
        <v>50</v>
      </c>
      <c r="AE20" s="1">
        <v>2.0000000000000001E-4</v>
      </c>
      <c r="AF20" s="43">
        <v>3.0000000000000001E-3</v>
      </c>
      <c r="AG20" s="1">
        <v>2.0000000000000001E-4</v>
      </c>
      <c r="AH20" s="1">
        <v>6.9999999999999999E-4</v>
      </c>
      <c r="AI20" s="15">
        <v>2.5000000000000001E-2</v>
      </c>
      <c r="AJ20" s="44">
        <v>0.01</v>
      </c>
      <c r="AK20" s="425"/>
      <c r="AL20" s="74">
        <f t="shared" si="0"/>
        <v>0.85773333333333335</v>
      </c>
      <c r="AM20" s="13">
        <f t="shared" si="1"/>
        <v>0.30318333333333336</v>
      </c>
      <c r="AN20" s="81">
        <f t="shared" si="2"/>
        <v>0.47773313892384639</v>
      </c>
      <c r="AO20" s="85">
        <f t="shared" si="3"/>
        <v>0.44295000000000007</v>
      </c>
    </row>
    <row r="21" spans="2:41" x14ac:dyDescent="0.25">
      <c r="B21" s="41"/>
      <c r="C21" s="116" t="s">
        <v>34</v>
      </c>
      <c r="D21" s="10">
        <v>3672</v>
      </c>
      <c r="E21" s="10" t="s">
        <v>42</v>
      </c>
      <c r="F21" s="10" t="s">
        <v>38</v>
      </c>
      <c r="G21" s="10" t="s">
        <v>43</v>
      </c>
      <c r="H21" s="10"/>
      <c r="I21" s="77" t="s">
        <v>44</v>
      </c>
      <c r="J21" s="46"/>
      <c r="K21" s="12">
        <v>0.11</v>
      </c>
      <c r="L21" s="12">
        <v>0.39</v>
      </c>
      <c r="M21" s="12">
        <v>1.04</v>
      </c>
      <c r="N21" s="1">
        <v>8.0000000000000002E-3</v>
      </c>
      <c r="O21" s="1">
        <v>2E-3</v>
      </c>
      <c r="P21" s="1">
        <v>0.59</v>
      </c>
      <c r="Q21" s="45">
        <v>3</v>
      </c>
      <c r="R21" s="1">
        <v>0.81</v>
      </c>
      <c r="S21" s="1">
        <v>2E-3</v>
      </c>
      <c r="T21" s="1">
        <v>1.6E-2</v>
      </c>
      <c r="U21" s="1">
        <v>7.0000000000000001E-3</v>
      </c>
      <c r="V21" s="1">
        <v>8.9999999999999993E-3</v>
      </c>
      <c r="W21" s="1">
        <v>1.4999999999999999E-2</v>
      </c>
      <c r="X21" s="1">
        <v>6.0000000000000001E-3</v>
      </c>
      <c r="Y21" s="15">
        <v>2E-3</v>
      </c>
      <c r="Z21" s="15">
        <v>0.02</v>
      </c>
      <c r="AA21" s="1" t="s">
        <v>46</v>
      </c>
      <c r="AB21" s="1">
        <v>3.0000000000000001E-3</v>
      </c>
      <c r="AC21" s="1">
        <v>1E-3</v>
      </c>
      <c r="AD21" s="1" t="s">
        <v>47</v>
      </c>
      <c r="AE21" s="1">
        <v>2.0000000000000001E-4</v>
      </c>
      <c r="AF21" s="43">
        <v>2.0999999999999999E-3</v>
      </c>
      <c r="AG21" s="1">
        <v>2.9999999999999997E-4</v>
      </c>
      <c r="AH21" s="1">
        <v>5.0000000000000001E-4</v>
      </c>
      <c r="AI21" s="15">
        <v>2.1000000000000001E-2</v>
      </c>
      <c r="AJ21" s="44">
        <v>1.2E-2</v>
      </c>
      <c r="AK21" s="425"/>
      <c r="AL21" s="74">
        <f t="shared" si="0"/>
        <v>0.76573333333333338</v>
      </c>
      <c r="AM21" s="13">
        <f t="shared" si="1"/>
        <v>0.31094999999999995</v>
      </c>
      <c r="AN21" s="81">
        <f t="shared" si="2"/>
        <v>0.54705764120809386</v>
      </c>
      <c r="AO21" s="85">
        <f t="shared" si="3"/>
        <v>0.40024999999999999</v>
      </c>
    </row>
    <row r="22" spans="2:41" x14ac:dyDescent="0.25">
      <c r="B22" s="41"/>
      <c r="C22" s="116" t="s">
        <v>34</v>
      </c>
      <c r="D22" s="10">
        <v>3673</v>
      </c>
      <c r="E22" s="10" t="s">
        <v>42</v>
      </c>
      <c r="F22" s="10" t="s">
        <v>38</v>
      </c>
      <c r="G22" s="10" t="s">
        <v>43</v>
      </c>
      <c r="H22" s="10"/>
      <c r="I22" s="77">
        <v>7</v>
      </c>
      <c r="J22" s="46"/>
      <c r="K22" s="12">
        <v>0.11</v>
      </c>
      <c r="L22" s="12">
        <v>0.4</v>
      </c>
      <c r="M22" s="12">
        <v>0.98</v>
      </c>
      <c r="N22" s="1">
        <v>7.0000000000000001E-3</v>
      </c>
      <c r="O22" s="1">
        <v>2E-3</v>
      </c>
      <c r="P22" s="1">
        <v>0.57999999999999996</v>
      </c>
      <c r="Q22" s="45">
        <v>3</v>
      </c>
      <c r="R22" s="1">
        <v>0.79</v>
      </c>
      <c r="S22" s="1">
        <v>2E-3</v>
      </c>
      <c r="T22" s="1">
        <v>1.6E-2</v>
      </c>
      <c r="U22" s="1">
        <v>6.0000000000000001E-3</v>
      </c>
      <c r="V22" s="1">
        <v>7.0000000000000001E-3</v>
      </c>
      <c r="W22" s="1">
        <v>1.6E-2</v>
      </c>
      <c r="X22" s="1">
        <v>4.0000000000000001E-3</v>
      </c>
      <c r="Y22" s="15">
        <v>2E-3</v>
      </c>
      <c r="Z22" s="15">
        <v>1.9E-2</v>
      </c>
      <c r="AA22" s="1" t="s">
        <v>46</v>
      </c>
      <c r="AB22" s="1">
        <v>3.0000000000000001E-3</v>
      </c>
      <c r="AC22" s="1">
        <v>1E-3</v>
      </c>
      <c r="AD22" s="1" t="s">
        <v>47</v>
      </c>
      <c r="AE22" s="1">
        <v>1.2E-4</v>
      </c>
      <c r="AF22" s="43">
        <v>3.0000000000000001E-3</v>
      </c>
      <c r="AG22" s="1">
        <v>2.0000000000000001E-4</v>
      </c>
      <c r="AH22" s="1">
        <v>5.0000000000000001E-4</v>
      </c>
      <c r="AI22" s="15">
        <v>1.9E-2</v>
      </c>
      <c r="AJ22" s="44">
        <v>5.0000000000000001E-3</v>
      </c>
      <c r="AK22" s="425"/>
      <c r="AL22" s="74">
        <f t="shared" si="0"/>
        <v>0.74960000000000004</v>
      </c>
      <c r="AM22" s="13">
        <f t="shared" si="1"/>
        <v>0.30599999999999994</v>
      </c>
      <c r="AN22" s="81">
        <f t="shared" si="2"/>
        <v>0.53576539926916666</v>
      </c>
      <c r="AO22" s="85">
        <f t="shared" si="3"/>
        <v>0.39180000000000009</v>
      </c>
    </row>
    <row r="23" spans="2:41" x14ac:dyDescent="0.25">
      <c r="B23" s="41"/>
      <c r="C23" s="116" t="s">
        <v>34</v>
      </c>
      <c r="D23" s="10">
        <v>4791</v>
      </c>
      <c r="E23" s="10" t="s">
        <v>42</v>
      </c>
      <c r="F23" s="10" t="s">
        <v>38</v>
      </c>
      <c r="G23" s="10" t="s">
        <v>43</v>
      </c>
      <c r="H23" s="10"/>
      <c r="I23" s="77" t="s">
        <v>45</v>
      </c>
      <c r="J23" s="46"/>
      <c r="K23" s="12">
        <v>0.12</v>
      </c>
      <c r="L23" s="12">
        <v>0.37</v>
      </c>
      <c r="M23" s="12">
        <v>0.99</v>
      </c>
      <c r="N23" s="1">
        <v>7.0000000000000001E-3</v>
      </c>
      <c r="O23" s="1">
        <v>2E-3</v>
      </c>
      <c r="P23" s="1">
        <v>0.66</v>
      </c>
      <c r="Q23" s="45">
        <v>3</v>
      </c>
      <c r="R23" s="1">
        <v>0.82</v>
      </c>
      <c r="S23" s="1">
        <v>3.0000000000000001E-3</v>
      </c>
      <c r="T23" s="1">
        <v>1.7000000000000001E-2</v>
      </c>
      <c r="U23" s="1">
        <v>6.0000000000000001E-3</v>
      </c>
      <c r="V23" s="1">
        <v>7.0000000000000001E-3</v>
      </c>
      <c r="W23" s="1">
        <v>1.4999999999999999E-2</v>
      </c>
      <c r="X23" s="1">
        <v>3.0000000000000001E-3</v>
      </c>
      <c r="Y23" s="15">
        <v>2E-3</v>
      </c>
      <c r="Z23" s="15">
        <v>1.7000000000000001E-2</v>
      </c>
      <c r="AA23" s="1" t="s">
        <v>49</v>
      </c>
      <c r="AB23" s="1">
        <v>2E-3</v>
      </c>
      <c r="AC23" s="1">
        <v>2E-3</v>
      </c>
      <c r="AD23" s="1" t="s">
        <v>50</v>
      </c>
      <c r="AE23" s="1">
        <v>1E-4</v>
      </c>
      <c r="AF23" s="43">
        <v>1.8E-3</v>
      </c>
      <c r="AG23" s="1">
        <v>1E-4</v>
      </c>
      <c r="AH23" s="1">
        <v>5.0000000000000001E-4</v>
      </c>
      <c r="AI23" s="15">
        <v>1.7999999999999999E-2</v>
      </c>
      <c r="AJ23" s="44">
        <v>5.0000000000000001E-3</v>
      </c>
      <c r="AK23" s="425"/>
      <c r="AL23" s="74">
        <f t="shared" si="0"/>
        <v>0.78320000000000001</v>
      </c>
      <c r="AM23" s="191">
        <f t="shared" si="1"/>
        <v>0.32135000000000002</v>
      </c>
      <c r="AN23" s="192">
        <f t="shared" si="2"/>
        <v>0.5925125</v>
      </c>
      <c r="AO23" s="85">
        <f t="shared" si="3"/>
        <v>0.40974999999999995</v>
      </c>
    </row>
    <row r="24" spans="2:41" ht="6.75" hidden="1" customHeight="1" x14ac:dyDescent="0.25">
      <c r="B24" s="41"/>
      <c r="C24" s="116"/>
      <c r="D24" s="10"/>
      <c r="E24" s="115"/>
      <c r="F24" s="10"/>
      <c r="G24" s="10"/>
      <c r="H24" s="10"/>
      <c r="I24" s="77"/>
      <c r="J24" s="46"/>
      <c r="K24" s="15"/>
      <c r="L24" s="12"/>
      <c r="M24" s="12"/>
      <c r="N24" s="1"/>
      <c r="O24" s="1"/>
      <c r="P24" s="1"/>
      <c r="Q24" s="45"/>
      <c r="R24" s="1"/>
      <c r="S24" s="1"/>
      <c r="T24" s="1"/>
      <c r="U24" s="1"/>
      <c r="V24" s="1"/>
      <c r="W24" s="1"/>
      <c r="X24" s="1"/>
      <c r="Y24" s="15"/>
      <c r="Z24" s="15"/>
      <c r="AA24" s="1"/>
      <c r="AB24" s="1"/>
      <c r="AC24" s="1"/>
      <c r="AD24" s="1"/>
      <c r="AE24" s="1"/>
      <c r="AF24" s="43"/>
      <c r="AG24" s="1"/>
      <c r="AH24" s="1"/>
      <c r="AI24" s="15"/>
      <c r="AJ24" s="44"/>
      <c r="AK24" s="21"/>
      <c r="AL24" s="74"/>
      <c r="AM24" s="13"/>
      <c r="AN24" s="81"/>
      <c r="AO24" s="85"/>
    </row>
    <row r="25" spans="2:41" hidden="1" x14ac:dyDescent="0.25">
      <c r="B25" s="41" t="s">
        <v>85</v>
      </c>
      <c r="C25" s="116"/>
      <c r="D25" s="10"/>
      <c r="E25" s="115" t="s">
        <v>39</v>
      </c>
      <c r="F25" s="10" t="s">
        <v>52</v>
      </c>
      <c r="G25" s="10" t="s">
        <v>85</v>
      </c>
      <c r="H25" s="115" t="s">
        <v>39</v>
      </c>
      <c r="I25" s="117" t="s">
        <v>39</v>
      </c>
      <c r="J25" s="46"/>
      <c r="K25" s="12">
        <v>0.1</v>
      </c>
      <c r="L25" s="12">
        <v>0.77</v>
      </c>
      <c r="M25" s="12">
        <v>1.86</v>
      </c>
      <c r="N25" s="1">
        <v>1.0999999999999999E-2</v>
      </c>
      <c r="O25" s="1">
        <v>8.9999999999999993E-3</v>
      </c>
      <c r="P25" s="1">
        <v>0.32</v>
      </c>
      <c r="Q25" s="12">
        <v>1.85</v>
      </c>
      <c r="R25" s="1">
        <v>0.45</v>
      </c>
      <c r="U25" s="1">
        <v>0.01</v>
      </c>
      <c r="W25" s="1">
        <v>0.04</v>
      </c>
      <c r="X25" s="1" t="s">
        <v>86</v>
      </c>
      <c r="Z25" s="1" t="s">
        <v>86</v>
      </c>
      <c r="AD25" s="1">
        <v>0.01</v>
      </c>
      <c r="AJ25" s="46"/>
      <c r="AK25" s="21"/>
      <c r="AL25" s="74">
        <f t="shared" si="0"/>
        <v>0.69200000000000006</v>
      </c>
      <c r="AM25" s="13">
        <f t="shared" si="1"/>
        <v>0.29850000000000004</v>
      </c>
      <c r="AN25" s="81">
        <f t="shared" si="2"/>
        <v>0.48858631953552201</v>
      </c>
      <c r="AO25" s="85">
        <f t="shared" si="3"/>
        <v>0.39525000000000005</v>
      </c>
    </row>
    <row r="26" spans="2:41" hidden="1" x14ac:dyDescent="0.25">
      <c r="B26" s="41" t="s">
        <v>85</v>
      </c>
      <c r="C26" s="116"/>
      <c r="D26" s="10"/>
      <c r="E26" s="115" t="s">
        <v>39</v>
      </c>
      <c r="F26" s="10" t="s">
        <v>57</v>
      </c>
      <c r="G26" s="10" t="s">
        <v>85</v>
      </c>
      <c r="H26" s="115" t="s">
        <v>39</v>
      </c>
      <c r="I26" s="117" t="s">
        <v>39</v>
      </c>
      <c r="J26" s="46"/>
      <c r="K26" s="15">
        <v>0.08</v>
      </c>
      <c r="L26" s="12">
        <v>0.8</v>
      </c>
      <c r="M26" s="12">
        <v>1.75</v>
      </c>
      <c r="N26" s="15">
        <v>0.01</v>
      </c>
      <c r="O26" s="1">
        <v>3.0000000000000001E-3</v>
      </c>
      <c r="P26" s="1">
        <v>0.41</v>
      </c>
      <c r="Q26" s="45">
        <v>2.2200000000000002</v>
      </c>
      <c r="R26" s="1">
        <v>0.53</v>
      </c>
      <c r="U26" s="1">
        <v>0.01</v>
      </c>
      <c r="W26" s="1">
        <v>0.105</v>
      </c>
      <c r="X26" s="1">
        <v>0.01</v>
      </c>
      <c r="Z26" s="15">
        <v>0.05</v>
      </c>
      <c r="AD26" s="1" t="s">
        <v>86</v>
      </c>
      <c r="AJ26" s="46"/>
      <c r="AK26" s="21"/>
      <c r="AL26" s="74">
        <f t="shared" si="0"/>
        <v>0.71666666666666667</v>
      </c>
      <c r="AM26" s="13">
        <f t="shared" si="1"/>
        <v>0.29325000000000001</v>
      </c>
      <c r="AN26" s="81">
        <f t="shared" si="2"/>
        <v>0.44966618110511292</v>
      </c>
      <c r="AO26" s="85">
        <f t="shared" si="3"/>
        <v>0.38924999999999998</v>
      </c>
    </row>
    <row r="27" spans="2:41" hidden="1" x14ac:dyDescent="0.25">
      <c r="B27" s="41" t="s">
        <v>88</v>
      </c>
      <c r="C27" s="116" t="s">
        <v>54</v>
      </c>
      <c r="D27" s="10"/>
      <c r="E27" s="115" t="s">
        <v>39</v>
      </c>
      <c r="F27" s="10" t="s">
        <v>52</v>
      </c>
      <c r="G27" s="10" t="s">
        <v>81</v>
      </c>
      <c r="H27" s="115" t="s">
        <v>39</v>
      </c>
      <c r="I27" s="117" t="s">
        <v>39</v>
      </c>
      <c r="J27" s="46"/>
      <c r="K27" s="15">
        <v>8.6999999999999994E-2</v>
      </c>
      <c r="L27" s="12">
        <v>0.56999999999999995</v>
      </c>
      <c r="M27" s="12">
        <v>1.55</v>
      </c>
      <c r="N27" s="1">
        <v>0.01</v>
      </c>
      <c r="O27" s="1">
        <v>7.0000000000000001E-3</v>
      </c>
      <c r="P27" s="1">
        <v>0.28000000000000003</v>
      </c>
      <c r="Q27" s="45">
        <v>1.86</v>
      </c>
      <c r="R27" s="1">
        <v>0.43</v>
      </c>
      <c r="S27" s="1">
        <v>6.0000000000000001E-3</v>
      </c>
      <c r="T27" s="1">
        <v>5.1000000000000004E-3</v>
      </c>
      <c r="U27" s="1">
        <v>3.0000000000000001E-3</v>
      </c>
      <c r="V27" s="1">
        <v>4.0000000000000001E-3</v>
      </c>
      <c r="W27" s="1">
        <v>3.1E-2</v>
      </c>
      <c r="X27" s="1">
        <v>3.0000000000000001E-3</v>
      </c>
      <c r="Y27" s="15">
        <v>3.0000000000000001E-3</v>
      </c>
      <c r="Z27" s="15">
        <v>2E-3</v>
      </c>
      <c r="AA27" s="1" t="s">
        <v>46</v>
      </c>
      <c r="AB27" s="1">
        <v>2E-3</v>
      </c>
      <c r="AC27" s="1">
        <v>2E-3</v>
      </c>
      <c r="AD27" s="1" t="s">
        <v>47</v>
      </c>
      <c r="AE27" s="1">
        <v>8.0000000000000004E-4</v>
      </c>
      <c r="AF27" s="43">
        <v>3.0000000000000001E-3</v>
      </c>
      <c r="AG27" s="1">
        <v>2.0000000000000001E-4</v>
      </c>
      <c r="AI27" s="1">
        <v>2.4E-2</v>
      </c>
      <c r="AJ27" s="44">
        <v>1.6E-2</v>
      </c>
      <c r="AK27" s="21" t="s">
        <v>87</v>
      </c>
      <c r="AL27" s="74">
        <f t="shared" si="0"/>
        <v>0.6140000000000001</v>
      </c>
      <c r="AM27" s="13">
        <f t="shared" si="1"/>
        <v>0.26301666666666668</v>
      </c>
      <c r="AN27" s="81">
        <f t="shared" si="2"/>
        <v>0.40214573133492071</v>
      </c>
      <c r="AO27" s="85">
        <f t="shared" si="3"/>
        <v>0.34704999999999997</v>
      </c>
    </row>
    <row r="28" spans="2:41" hidden="1" x14ac:dyDescent="0.25">
      <c r="B28" s="41" t="s">
        <v>88</v>
      </c>
      <c r="C28" s="116" t="s">
        <v>54</v>
      </c>
      <c r="D28" s="10"/>
      <c r="E28" s="115" t="s">
        <v>39</v>
      </c>
      <c r="F28" s="10" t="s">
        <v>57</v>
      </c>
      <c r="G28" s="10" t="s">
        <v>81</v>
      </c>
      <c r="H28" s="115" t="s">
        <v>39</v>
      </c>
      <c r="I28" s="117" t="s">
        <v>39</v>
      </c>
      <c r="J28" s="46"/>
      <c r="K28" s="15">
        <v>8.2000000000000003E-2</v>
      </c>
      <c r="L28" s="12">
        <v>0.7</v>
      </c>
      <c r="M28" s="12">
        <v>1.6</v>
      </c>
      <c r="N28" s="1">
        <v>4.0000000000000001E-3</v>
      </c>
      <c r="O28" s="1">
        <v>4.0000000000000001E-3</v>
      </c>
      <c r="P28" s="1">
        <v>0.39</v>
      </c>
      <c r="Q28" s="45">
        <v>2.2400000000000002</v>
      </c>
      <c r="R28" s="1">
        <v>0.55000000000000004</v>
      </c>
      <c r="S28" s="1">
        <v>6.0000000000000001E-3</v>
      </c>
      <c r="T28" s="1">
        <v>8.0000000000000002E-3</v>
      </c>
      <c r="U28" s="1">
        <v>6.0000000000000001E-3</v>
      </c>
      <c r="V28" s="1">
        <v>5.0000000000000001E-3</v>
      </c>
      <c r="W28" s="1">
        <v>3.4000000000000002E-2</v>
      </c>
      <c r="X28" s="1">
        <v>6.0000000000000001E-3</v>
      </c>
      <c r="Y28" s="15">
        <v>4.0000000000000001E-3</v>
      </c>
      <c r="Z28" s="15">
        <v>2.1000000000000001E-2</v>
      </c>
      <c r="AA28" s="1" t="s">
        <v>46</v>
      </c>
      <c r="AB28" s="1">
        <v>3.0000000000000001E-3</v>
      </c>
      <c r="AC28" s="1">
        <v>2E-3</v>
      </c>
      <c r="AD28" s="1" t="s">
        <v>47</v>
      </c>
      <c r="AE28" s="1">
        <v>6.9999999999999999E-4</v>
      </c>
      <c r="AF28" s="43">
        <v>4.0000000000000001E-3</v>
      </c>
      <c r="AG28" s="1">
        <v>1E-4</v>
      </c>
      <c r="AI28" s="1">
        <v>2.5999999999999999E-2</v>
      </c>
      <c r="AJ28" s="44">
        <v>1.0999999999999999E-2</v>
      </c>
      <c r="AK28" s="21" t="s">
        <v>87</v>
      </c>
      <c r="AL28" s="74">
        <f t="shared" si="0"/>
        <v>0.68946666666666656</v>
      </c>
      <c r="AM28" s="13">
        <f t="shared" si="1"/>
        <v>0.28463333333333335</v>
      </c>
      <c r="AN28" s="81">
        <f t="shared" si="2"/>
        <v>0.43601537505010918</v>
      </c>
      <c r="AO28" s="85">
        <f t="shared" si="3"/>
        <v>0.37419999999999998</v>
      </c>
    </row>
    <row r="29" spans="2:41" hidden="1" x14ac:dyDescent="0.25">
      <c r="B29" s="41" t="s">
        <v>88</v>
      </c>
      <c r="C29" s="116" t="s">
        <v>54</v>
      </c>
      <c r="D29" s="10"/>
      <c r="E29" s="115" t="s">
        <v>39</v>
      </c>
      <c r="F29" s="10" t="s">
        <v>51</v>
      </c>
      <c r="G29" s="10" t="s">
        <v>81</v>
      </c>
      <c r="H29" s="115" t="s">
        <v>39</v>
      </c>
      <c r="I29" s="117" t="s">
        <v>39</v>
      </c>
      <c r="J29" s="46"/>
      <c r="K29" s="15">
        <v>0.09</v>
      </c>
      <c r="L29" s="12">
        <v>0.51</v>
      </c>
      <c r="M29" s="12">
        <v>1.33</v>
      </c>
      <c r="N29" s="1">
        <v>0.01</v>
      </c>
      <c r="O29" s="1">
        <v>1.2E-2</v>
      </c>
      <c r="P29" s="1">
        <v>0.51</v>
      </c>
      <c r="Q29" s="45">
        <v>2.71</v>
      </c>
      <c r="R29" s="1">
        <v>0.69</v>
      </c>
      <c r="S29" s="1">
        <v>4.0000000000000001E-3</v>
      </c>
      <c r="T29" s="1">
        <v>7.0000000000000001E-3</v>
      </c>
      <c r="U29" s="1">
        <v>2E-3</v>
      </c>
      <c r="V29" s="1">
        <v>5.0000000000000001E-3</v>
      </c>
      <c r="W29" s="1">
        <v>2.3E-2</v>
      </c>
      <c r="X29" s="1">
        <v>5.0000000000000001E-3</v>
      </c>
      <c r="Y29" s="15">
        <v>2E-3</v>
      </c>
      <c r="Z29" s="15">
        <v>7.0000000000000001E-3</v>
      </c>
      <c r="AA29" s="1" t="s">
        <v>46</v>
      </c>
      <c r="AB29" s="1">
        <v>3.0000000000000001E-3</v>
      </c>
      <c r="AC29" s="1">
        <v>2E-3</v>
      </c>
      <c r="AD29" s="1" t="s">
        <v>47</v>
      </c>
      <c r="AE29" s="1">
        <v>2.9999999999999997E-4</v>
      </c>
      <c r="AF29" s="43">
        <v>3.0000000000000001E-3</v>
      </c>
      <c r="AG29" s="1">
        <v>5.0000000000000001E-4</v>
      </c>
      <c r="AI29" s="1">
        <v>2.7E-2</v>
      </c>
      <c r="AJ29" s="44">
        <v>4.0000000000000001E-3</v>
      </c>
      <c r="AK29" s="21" t="s">
        <v>87</v>
      </c>
      <c r="AL29" s="74">
        <f t="shared" si="0"/>
        <v>0.73426666666666662</v>
      </c>
      <c r="AM29" s="13">
        <f t="shared" si="1"/>
        <v>0.29301666666666665</v>
      </c>
      <c r="AN29" s="81">
        <f t="shared" si="2"/>
        <v>0.47258856288644269</v>
      </c>
      <c r="AO29" s="85">
        <f t="shared" si="3"/>
        <v>0.38639999999999997</v>
      </c>
    </row>
    <row r="30" spans="2:41" hidden="1" x14ac:dyDescent="0.25">
      <c r="B30" s="41" t="s">
        <v>88</v>
      </c>
      <c r="C30" s="116" t="s">
        <v>54</v>
      </c>
      <c r="D30" s="10"/>
      <c r="E30" s="115" t="s">
        <v>39</v>
      </c>
      <c r="F30" s="10" t="s">
        <v>53</v>
      </c>
      <c r="G30" s="10" t="s">
        <v>81</v>
      </c>
      <c r="H30" s="115" t="s">
        <v>39</v>
      </c>
      <c r="I30" s="117" t="s">
        <v>39</v>
      </c>
      <c r="J30" s="46"/>
      <c r="K30" s="12">
        <v>0.1</v>
      </c>
      <c r="L30" s="12">
        <v>0.54</v>
      </c>
      <c r="M30" s="12">
        <v>1.26</v>
      </c>
      <c r="N30" s="1">
        <v>0.01</v>
      </c>
      <c r="O30" s="1">
        <v>8.0000000000000002E-3</v>
      </c>
      <c r="P30" s="1">
        <v>0.55000000000000004</v>
      </c>
      <c r="Q30" s="45">
        <v>2.62</v>
      </c>
      <c r="R30" s="1">
        <v>0.71</v>
      </c>
      <c r="S30" s="1">
        <v>5.0000000000000001E-3</v>
      </c>
      <c r="T30" s="1">
        <v>8.0000000000000002E-3</v>
      </c>
      <c r="U30" s="1">
        <v>3.0000000000000001E-3</v>
      </c>
      <c r="V30" s="1">
        <v>4.0000000000000001E-3</v>
      </c>
      <c r="W30" s="1">
        <v>2.8000000000000001E-2</v>
      </c>
      <c r="X30" s="1">
        <v>0.01</v>
      </c>
      <c r="Y30" s="15">
        <v>3.0000000000000001E-3</v>
      </c>
      <c r="Z30" s="15">
        <v>1.2E-2</v>
      </c>
      <c r="AA30" s="1" t="s">
        <v>46</v>
      </c>
      <c r="AB30" s="1">
        <v>3.0000000000000001E-3</v>
      </c>
      <c r="AC30" s="1">
        <v>2E-3</v>
      </c>
      <c r="AD30" s="1" t="s">
        <v>47</v>
      </c>
      <c r="AE30" s="1">
        <v>2.0000000000000001E-4</v>
      </c>
      <c r="AF30" s="43">
        <v>3.0000000000000001E-3</v>
      </c>
      <c r="AG30" s="1">
        <v>6.9999999999999999E-4</v>
      </c>
      <c r="AI30" s="1">
        <v>2.8000000000000001E-2</v>
      </c>
      <c r="AJ30" s="44">
        <v>5.0000000000000001E-3</v>
      </c>
      <c r="AK30" s="21" t="s">
        <v>87</v>
      </c>
      <c r="AL30" s="74">
        <f t="shared" si="0"/>
        <v>0.73913333333333342</v>
      </c>
      <c r="AM30" s="13">
        <f t="shared" si="1"/>
        <v>0.30220000000000002</v>
      </c>
      <c r="AN30" s="81">
        <f t="shared" si="2"/>
        <v>0.50530006178046893</v>
      </c>
      <c r="AO30" s="85">
        <f t="shared" si="3"/>
        <v>0.39140000000000003</v>
      </c>
    </row>
    <row r="31" spans="2:41" hidden="1" x14ac:dyDescent="0.25">
      <c r="B31" s="41" t="s">
        <v>74</v>
      </c>
      <c r="C31" s="116" t="s">
        <v>54</v>
      </c>
      <c r="D31" s="10"/>
      <c r="E31" s="115" t="s">
        <v>39</v>
      </c>
      <c r="F31" s="10" t="s">
        <v>51</v>
      </c>
      <c r="G31" s="10" t="s">
        <v>40</v>
      </c>
      <c r="H31" s="115" t="s">
        <v>39</v>
      </c>
      <c r="I31" s="117"/>
      <c r="J31" s="46"/>
      <c r="K31" s="15">
        <v>0.09</v>
      </c>
      <c r="L31" s="12">
        <v>0.56999999999999995</v>
      </c>
      <c r="M31" s="12">
        <v>1.36</v>
      </c>
      <c r="N31" s="1">
        <v>8.9999999999999993E-3</v>
      </c>
      <c r="O31" s="1">
        <v>8.9999999999999993E-3</v>
      </c>
      <c r="P31" s="1">
        <v>0.5</v>
      </c>
      <c r="Q31" s="45">
        <v>2.6</v>
      </c>
      <c r="R31" s="1">
        <v>0.66</v>
      </c>
      <c r="S31" s="1"/>
      <c r="T31" s="1"/>
      <c r="U31" s="1">
        <v>3.0000000000000001E-3</v>
      </c>
      <c r="V31" s="1">
        <v>7.0000000000000001E-3</v>
      </c>
      <c r="W31" s="1"/>
      <c r="X31" s="1"/>
      <c r="Y31" s="15"/>
      <c r="Z31" s="15"/>
      <c r="AA31" s="1"/>
      <c r="AB31" s="1"/>
      <c r="AC31" s="1"/>
      <c r="AD31" s="1"/>
      <c r="AE31" s="1">
        <v>2.0000000000000001E-4</v>
      </c>
      <c r="AF31" s="43"/>
      <c r="AG31" s="1"/>
      <c r="AI31" s="1">
        <v>2.1000000000000001E-2</v>
      </c>
      <c r="AJ31" s="53">
        <v>4.0000000000000001E-3</v>
      </c>
      <c r="AK31" s="21"/>
      <c r="AL31" s="74">
        <f t="shared" si="0"/>
        <v>0.72260000000000002</v>
      </c>
      <c r="AM31" s="13">
        <f t="shared" si="1"/>
        <v>0.29063333333333335</v>
      </c>
      <c r="AN31" s="81">
        <f t="shared" si="2"/>
        <v>0.4683194488025727</v>
      </c>
      <c r="AO31" s="85">
        <f t="shared" si="3"/>
        <v>0.38200000000000006</v>
      </c>
    </row>
    <row r="32" spans="2:41" hidden="1" x14ac:dyDescent="0.25">
      <c r="B32" s="41" t="s">
        <v>74</v>
      </c>
      <c r="C32" s="116" t="s">
        <v>54</v>
      </c>
      <c r="D32" s="10"/>
      <c r="E32" s="115" t="s">
        <v>39</v>
      </c>
      <c r="F32" s="10" t="s">
        <v>53</v>
      </c>
      <c r="G32" s="10" t="s">
        <v>40</v>
      </c>
      <c r="H32" s="115" t="s">
        <v>39</v>
      </c>
      <c r="I32" s="77"/>
      <c r="J32" s="46"/>
      <c r="K32" s="12">
        <v>0.11</v>
      </c>
      <c r="L32" s="12">
        <v>0.56000000000000005</v>
      </c>
      <c r="M32" s="12">
        <v>1.29</v>
      </c>
      <c r="N32" s="1">
        <v>0.01</v>
      </c>
      <c r="O32" s="1">
        <v>0.01</v>
      </c>
      <c r="P32" s="1">
        <v>0.56999999999999995</v>
      </c>
      <c r="Q32" s="45">
        <v>2.44</v>
      </c>
      <c r="R32" s="1">
        <v>0.72</v>
      </c>
      <c r="U32" s="1">
        <v>4.0000000000000001E-3</v>
      </c>
      <c r="V32" s="1">
        <v>7.0000000000000001E-3</v>
      </c>
      <c r="AE32" s="1">
        <v>2.0000000000000001E-4</v>
      </c>
      <c r="AI32" s="1">
        <v>2.1999999999999999E-2</v>
      </c>
      <c r="AJ32" s="53">
        <v>3.0000000000000001E-3</v>
      </c>
      <c r="AK32" s="21"/>
      <c r="AL32" s="74">
        <f t="shared" si="0"/>
        <v>0.74646666666666672</v>
      </c>
      <c r="AM32" s="13">
        <f>K32+L32/30+M32/20+W32/20+Q32/60+P32/20+R32/15+U32/10+5*AE32</f>
        <v>0.31173333333333331</v>
      </c>
      <c r="AN32" s="81">
        <f t="shared" si="2"/>
        <v>0.54478050865577654</v>
      </c>
      <c r="AO32" s="85">
        <f t="shared" si="3"/>
        <v>0.40050000000000002</v>
      </c>
    </row>
    <row r="33" spans="2:41" ht="6.75" customHeight="1" x14ac:dyDescent="0.25">
      <c r="B33" s="41"/>
      <c r="C33" s="116"/>
      <c r="D33" s="10"/>
      <c r="E33" s="115"/>
      <c r="F33" s="10"/>
      <c r="G33" s="10"/>
      <c r="H33" s="10"/>
      <c r="I33" s="77"/>
      <c r="J33" s="46"/>
      <c r="K33" s="15"/>
      <c r="L33" s="12"/>
      <c r="M33" s="12"/>
      <c r="N33" s="1"/>
      <c r="O33" s="1"/>
      <c r="P33" s="1"/>
      <c r="Q33" s="45"/>
      <c r="R33" s="1"/>
      <c r="S33" s="1"/>
      <c r="T33" s="1"/>
      <c r="U33" s="1"/>
      <c r="V33" s="1"/>
      <c r="W33" s="1"/>
      <c r="X33" s="1"/>
      <c r="Y33" s="15"/>
      <c r="Z33" s="15"/>
      <c r="AA33" s="1"/>
      <c r="AB33" s="1"/>
      <c r="AC33" s="1"/>
      <c r="AD33" s="1"/>
      <c r="AE33" s="1"/>
      <c r="AF33" s="43"/>
      <c r="AG33" s="1"/>
      <c r="AH33" s="1"/>
      <c r="AI33" s="15"/>
      <c r="AJ33" s="44"/>
      <c r="AK33" s="21"/>
      <c r="AL33" s="74"/>
      <c r="AM33" s="13"/>
      <c r="AN33" s="81"/>
      <c r="AO33" s="85"/>
    </row>
    <row r="34" spans="2:41" hidden="1" x14ac:dyDescent="0.25">
      <c r="B34" s="48">
        <v>3</v>
      </c>
      <c r="C34" s="116" t="s">
        <v>54</v>
      </c>
      <c r="D34" s="10">
        <v>4361</v>
      </c>
      <c r="E34" s="10" t="s">
        <v>41</v>
      </c>
      <c r="F34" s="10" t="s">
        <v>52</v>
      </c>
      <c r="G34" s="10" t="s">
        <v>43</v>
      </c>
      <c r="H34" s="10"/>
      <c r="I34" s="77" t="s">
        <v>55</v>
      </c>
      <c r="J34" s="51"/>
      <c r="K34" s="28" t="s">
        <v>99</v>
      </c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1"/>
      <c r="AK34" s="21"/>
      <c r="AL34" s="74"/>
      <c r="AM34" s="13"/>
      <c r="AN34" s="81"/>
      <c r="AO34" s="85"/>
    </row>
    <row r="35" spans="2:41" hidden="1" x14ac:dyDescent="0.25">
      <c r="B35" s="48">
        <v>4</v>
      </c>
      <c r="C35" s="116" t="s">
        <v>54</v>
      </c>
      <c r="D35" s="10">
        <v>4362</v>
      </c>
      <c r="E35" s="10" t="s">
        <v>41</v>
      </c>
      <c r="F35" s="10" t="s">
        <v>52</v>
      </c>
      <c r="G35" s="10" t="s">
        <v>43</v>
      </c>
      <c r="H35" s="10"/>
      <c r="I35" s="77" t="s">
        <v>56</v>
      </c>
      <c r="J35" s="51"/>
      <c r="K35" s="28" t="s">
        <v>99</v>
      </c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1"/>
      <c r="AK35" s="21"/>
      <c r="AL35" s="74"/>
      <c r="AM35" s="13"/>
      <c r="AN35" s="81"/>
      <c r="AO35" s="85"/>
    </row>
    <row r="36" spans="2:41" x14ac:dyDescent="0.25">
      <c r="B36" s="52">
        <v>5</v>
      </c>
      <c r="C36" s="116" t="s">
        <v>54</v>
      </c>
      <c r="D36" s="10">
        <v>4363</v>
      </c>
      <c r="E36" s="10" t="s">
        <v>42</v>
      </c>
      <c r="F36" s="10" t="s">
        <v>57</v>
      </c>
      <c r="G36" s="10" t="s">
        <v>43</v>
      </c>
      <c r="H36" s="10">
        <v>3</v>
      </c>
      <c r="I36" s="77" t="s">
        <v>55</v>
      </c>
      <c r="J36" s="46"/>
      <c r="K36" s="1">
        <v>0.121</v>
      </c>
      <c r="L36" s="1">
        <v>0.57999999999999996</v>
      </c>
      <c r="M36" s="1">
        <v>1.56</v>
      </c>
      <c r="N36" s="1">
        <v>4.0000000000000001E-3</v>
      </c>
      <c r="O36" s="1">
        <v>3.0000000000000001E-3</v>
      </c>
      <c r="P36" s="1">
        <v>0.33</v>
      </c>
      <c r="Q36" s="1">
        <v>1.49</v>
      </c>
      <c r="R36" s="1">
        <v>0.56999999999999995</v>
      </c>
      <c r="S36" s="1">
        <v>6.0000000000000001E-3</v>
      </c>
      <c r="T36" s="15">
        <v>0.01</v>
      </c>
      <c r="U36" s="1">
        <v>1.7000000000000001E-2</v>
      </c>
      <c r="V36" s="1">
        <v>8.9999999999999993E-3</v>
      </c>
      <c r="W36" s="1">
        <v>2.4E-2</v>
      </c>
      <c r="X36" s="1">
        <v>2.4E-2</v>
      </c>
      <c r="Y36" s="1">
        <v>3.0000000000000001E-3</v>
      </c>
      <c r="Z36" s="1">
        <v>2.8000000000000001E-2</v>
      </c>
      <c r="AA36" s="1" t="s">
        <v>46</v>
      </c>
      <c r="AB36" s="1">
        <v>2E-3</v>
      </c>
      <c r="AC36" s="1">
        <v>2E-3</v>
      </c>
      <c r="AD36" s="1" t="s">
        <v>47</v>
      </c>
      <c r="AE36" s="43">
        <v>1E-3</v>
      </c>
      <c r="AF36" s="1">
        <v>4.0000000000000001E-3</v>
      </c>
      <c r="AG36" s="1">
        <v>2.9999999999999997E-4</v>
      </c>
      <c r="AH36" s="1">
        <v>5.9999999999999995E-4</v>
      </c>
      <c r="AI36" s="1">
        <v>2.7E-2</v>
      </c>
      <c r="AJ36" s="44">
        <v>0.01</v>
      </c>
      <c r="AK36" s="21" t="s">
        <v>90</v>
      </c>
      <c r="AL36" s="74">
        <f t="shared" si="0"/>
        <v>0.66533333333333333</v>
      </c>
      <c r="AM36" s="13">
        <f t="shared" si="1"/>
        <v>0.30556666666666665</v>
      </c>
      <c r="AN36" s="81">
        <f t="shared" si="2"/>
        <v>0.53282696974706256</v>
      </c>
      <c r="AO36" s="85">
        <f t="shared" si="3"/>
        <v>0.38895000000000002</v>
      </c>
    </row>
    <row r="37" spans="2:41" x14ac:dyDescent="0.25">
      <c r="B37" s="52">
        <v>5</v>
      </c>
      <c r="C37" s="116" t="s">
        <v>54</v>
      </c>
      <c r="D37" s="10">
        <v>4363</v>
      </c>
      <c r="E37" s="10" t="s">
        <v>42</v>
      </c>
      <c r="F37" s="10" t="s">
        <v>57</v>
      </c>
      <c r="G37" s="10" t="s">
        <v>43</v>
      </c>
      <c r="H37" s="10">
        <v>3</v>
      </c>
      <c r="I37" s="77" t="s">
        <v>55</v>
      </c>
      <c r="J37" s="46"/>
      <c r="K37" s="183">
        <v>0.115</v>
      </c>
      <c r="L37" s="1">
        <v>0.56999999999999995</v>
      </c>
      <c r="M37" s="1">
        <v>1.56</v>
      </c>
      <c r="N37" s="1">
        <v>5.0000000000000001E-3</v>
      </c>
      <c r="O37" s="184">
        <v>4.3E-3</v>
      </c>
      <c r="P37" s="1">
        <v>0.33</v>
      </c>
      <c r="Q37" s="1">
        <v>1.47</v>
      </c>
      <c r="R37" s="1">
        <v>0.56000000000000005</v>
      </c>
      <c r="S37" s="1">
        <v>5.0000000000000001E-3</v>
      </c>
      <c r="T37" s="15">
        <v>0.01</v>
      </c>
      <c r="U37" s="1">
        <v>1.7000000000000001E-2</v>
      </c>
      <c r="V37" s="1">
        <v>8.9999999999999993E-3</v>
      </c>
      <c r="W37" s="1">
        <v>2.4E-2</v>
      </c>
      <c r="X37" s="1">
        <v>2.1999999999999999E-2</v>
      </c>
      <c r="Y37" s="1">
        <v>3.0000000000000001E-3</v>
      </c>
      <c r="Z37" s="1">
        <v>2.4E-2</v>
      </c>
      <c r="AA37" s="1" t="s">
        <v>46</v>
      </c>
      <c r="AB37" s="1">
        <v>2E-3</v>
      </c>
      <c r="AC37" s="1">
        <v>2E-3</v>
      </c>
      <c r="AD37" s="1" t="s">
        <v>47</v>
      </c>
      <c r="AE37" s="1">
        <v>8.9999999999999998E-4</v>
      </c>
      <c r="AF37" s="1">
        <v>4.0000000000000001E-3</v>
      </c>
      <c r="AG37" s="1">
        <v>2.9999999999999997E-4</v>
      </c>
      <c r="AH37" s="1">
        <v>5.9999999999999995E-4</v>
      </c>
      <c r="AI37" s="1"/>
      <c r="AJ37" s="53"/>
      <c r="AK37" s="21" t="s">
        <v>100</v>
      </c>
      <c r="AL37" s="74">
        <f t="shared" si="0"/>
        <v>0.65599999999999992</v>
      </c>
      <c r="AM37" s="13">
        <f t="shared" si="1"/>
        <v>0.29773333333333335</v>
      </c>
      <c r="AN37" s="81">
        <f t="shared" si="2"/>
        <v>0.5080312408783858</v>
      </c>
      <c r="AO37" s="85">
        <f t="shared" si="3"/>
        <v>0.38145000000000001</v>
      </c>
    </row>
    <row r="38" spans="2:41" x14ac:dyDescent="0.25">
      <c r="B38" s="52">
        <v>6</v>
      </c>
      <c r="C38" s="116" t="s">
        <v>54</v>
      </c>
      <c r="D38" s="10">
        <v>4364</v>
      </c>
      <c r="E38" s="10" t="s">
        <v>42</v>
      </c>
      <c r="F38" s="10" t="s">
        <v>57</v>
      </c>
      <c r="G38" s="10" t="s">
        <v>43</v>
      </c>
      <c r="H38" s="10">
        <v>3</v>
      </c>
      <c r="I38" s="77" t="s">
        <v>56</v>
      </c>
      <c r="J38" s="46"/>
      <c r="K38" s="15">
        <v>0.11</v>
      </c>
      <c r="L38" s="1">
        <v>0.64</v>
      </c>
      <c r="M38" s="1">
        <v>1.55</v>
      </c>
      <c r="N38" s="1">
        <v>4.0000000000000001E-3</v>
      </c>
      <c r="O38" s="1">
        <v>3.0000000000000001E-3</v>
      </c>
      <c r="P38" s="1">
        <v>0.36</v>
      </c>
      <c r="Q38" s="1">
        <v>1.78</v>
      </c>
      <c r="R38" s="1">
        <v>0.56999999999999995</v>
      </c>
      <c r="S38" s="1">
        <v>6.0000000000000001E-3</v>
      </c>
      <c r="T38" s="1">
        <v>8.9999999999999993E-3</v>
      </c>
      <c r="U38" s="1">
        <v>1.2999999999999999E-2</v>
      </c>
      <c r="V38" s="1">
        <v>7.0000000000000001E-3</v>
      </c>
      <c r="W38" s="1">
        <v>2.7E-2</v>
      </c>
      <c r="X38" s="1">
        <v>1.6E-2</v>
      </c>
      <c r="Y38" s="1">
        <v>3.0000000000000001E-3</v>
      </c>
      <c r="Z38" s="15">
        <v>0.03</v>
      </c>
      <c r="AA38" s="1" t="s">
        <v>46</v>
      </c>
      <c r="AB38" s="1">
        <v>2E-3</v>
      </c>
      <c r="AC38" s="1">
        <v>2E-3</v>
      </c>
      <c r="AD38" s="1" t="s">
        <v>47</v>
      </c>
      <c r="AE38" s="1">
        <v>8.0000000000000004E-4</v>
      </c>
      <c r="AF38" s="1">
        <v>4.0000000000000001E-3</v>
      </c>
      <c r="AG38" s="1">
        <v>2.0000000000000001E-4</v>
      </c>
      <c r="AH38" s="1">
        <v>5.0000000000000001E-4</v>
      </c>
      <c r="AI38" s="1">
        <v>2.8000000000000001E-2</v>
      </c>
      <c r="AJ38" s="53">
        <v>7.0000000000000001E-3</v>
      </c>
      <c r="AK38" s="21" t="s">
        <v>90</v>
      </c>
      <c r="AL38" s="74">
        <f t="shared" si="0"/>
        <v>0.6774</v>
      </c>
      <c r="AM38" s="13">
        <f t="shared" si="1"/>
        <v>0.30114999999999997</v>
      </c>
      <c r="AN38" s="81">
        <f t="shared" si="2"/>
        <v>0.50643126095418745</v>
      </c>
      <c r="AO38" s="85">
        <f t="shared" si="3"/>
        <v>0.38585000000000003</v>
      </c>
    </row>
    <row r="39" spans="2:41" x14ac:dyDescent="0.25">
      <c r="B39" s="52">
        <v>6</v>
      </c>
      <c r="C39" s="116" t="s">
        <v>54</v>
      </c>
      <c r="D39" s="10">
        <v>4364</v>
      </c>
      <c r="E39" s="10" t="s">
        <v>42</v>
      </c>
      <c r="F39" s="10" t="s">
        <v>57</v>
      </c>
      <c r="G39" s="10" t="s">
        <v>43</v>
      </c>
      <c r="H39" s="10">
        <v>3</v>
      </c>
      <c r="I39" s="77" t="s">
        <v>56</v>
      </c>
      <c r="J39" s="46"/>
      <c r="K39" s="183">
        <v>0.108</v>
      </c>
      <c r="L39" s="12">
        <v>0.6</v>
      </c>
      <c r="M39" s="1">
        <v>1.57</v>
      </c>
      <c r="N39" s="1">
        <v>4.0000000000000001E-3</v>
      </c>
      <c r="O39" s="184">
        <v>4.8999999999999998E-3</v>
      </c>
      <c r="P39" s="1">
        <v>0.34</v>
      </c>
      <c r="Q39" s="1">
        <v>1.67</v>
      </c>
      <c r="R39" s="1">
        <v>0.56000000000000005</v>
      </c>
      <c r="S39" s="1">
        <v>6.0000000000000001E-3</v>
      </c>
      <c r="T39" s="15">
        <v>0.01</v>
      </c>
      <c r="U39" s="1">
        <v>1.4999999999999999E-2</v>
      </c>
      <c r="V39" s="1">
        <v>8.0000000000000002E-3</v>
      </c>
      <c r="W39" s="1">
        <v>2.5999999999999999E-2</v>
      </c>
      <c r="X39" s="1">
        <v>1.4999999999999999E-2</v>
      </c>
      <c r="Y39" s="1">
        <v>4.0000000000000001E-3</v>
      </c>
      <c r="Z39" s="15">
        <v>0.02</v>
      </c>
      <c r="AA39" s="1" t="s">
        <v>46</v>
      </c>
      <c r="AB39" s="1">
        <v>2E-3</v>
      </c>
      <c r="AC39" s="1">
        <v>2E-3</v>
      </c>
      <c r="AD39" s="1" t="s">
        <v>47</v>
      </c>
      <c r="AE39" s="1">
        <v>8.9999999999999998E-4</v>
      </c>
      <c r="AF39" s="1">
        <v>4.0000000000000001E-3</v>
      </c>
      <c r="AG39" s="1">
        <v>2.0000000000000001E-4</v>
      </c>
      <c r="AH39" s="1">
        <v>5.9999999999999995E-4</v>
      </c>
      <c r="AI39" s="1"/>
      <c r="AJ39" s="53"/>
      <c r="AK39" s="21" t="s">
        <v>100</v>
      </c>
      <c r="AL39" s="74">
        <f t="shared" si="0"/>
        <v>0.66573333333333329</v>
      </c>
      <c r="AM39" s="13">
        <f t="shared" si="1"/>
        <v>0.29596666666666666</v>
      </c>
      <c r="AN39" s="81">
        <f t="shared" si="2"/>
        <v>0.49261165384545658</v>
      </c>
      <c r="AO39" s="85">
        <f t="shared" si="3"/>
        <v>0.38105000000000006</v>
      </c>
    </row>
    <row r="40" spans="2:41" ht="6.75" hidden="1" customHeight="1" x14ac:dyDescent="0.25">
      <c r="B40" s="41"/>
      <c r="C40" s="116"/>
      <c r="D40" s="10"/>
      <c r="E40" s="115"/>
      <c r="F40" s="10"/>
      <c r="G40" s="10"/>
      <c r="H40" s="10"/>
      <c r="I40" s="77"/>
      <c r="J40" s="46"/>
      <c r="K40" s="15"/>
      <c r="L40" s="12"/>
      <c r="M40" s="12"/>
      <c r="N40" s="1"/>
      <c r="O40" s="1"/>
      <c r="P40" s="1"/>
      <c r="Q40" s="45"/>
      <c r="R40" s="1"/>
      <c r="S40" s="1"/>
      <c r="T40" s="1"/>
      <c r="U40" s="1"/>
      <c r="V40" s="1"/>
      <c r="W40" s="1"/>
      <c r="X40" s="1"/>
      <c r="Y40" s="15"/>
      <c r="Z40" s="15"/>
      <c r="AA40" s="1"/>
      <c r="AB40" s="1"/>
      <c r="AC40" s="1"/>
      <c r="AD40" s="1"/>
      <c r="AE40" s="1"/>
      <c r="AF40" s="43"/>
      <c r="AG40" s="1"/>
      <c r="AH40" s="1"/>
      <c r="AI40" s="15"/>
      <c r="AJ40" s="44"/>
      <c r="AK40" s="21"/>
      <c r="AL40" s="74"/>
      <c r="AM40" s="13"/>
      <c r="AN40" s="81"/>
      <c r="AO40" s="85"/>
    </row>
    <row r="41" spans="2:41" hidden="1" x14ac:dyDescent="0.25">
      <c r="B41" s="41">
        <v>1</v>
      </c>
      <c r="C41" s="116" t="s">
        <v>54</v>
      </c>
      <c r="D41" s="10">
        <v>4706</v>
      </c>
      <c r="E41" s="10" t="s">
        <v>41</v>
      </c>
      <c r="F41" s="10" t="s">
        <v>51</v>
      </c>
      <c r="G41" s="10" t="s">
        <v>43</v>
      </c>
      <c r="H41" s="10">
        <v>3</v>
      </c>
      <c r="I41" s="77" t="s">
        <v>55</v>
      </c>
      <c r="J41" s="46"/>
      <c r="K41" s="185">
        <v>0.124</v>
      </c>
      <c r="L41" s="1">
        <v>0.44</v>
      </c>
      <c r="M41" s="1">
        <v>1.28</v>
      </c>
      <c r="N41" s="1">
        <v>0.01</v>
      </c>
      <c r="O41" s="183">
        <v>7.6E-3</v>
      </c>
      <c r="P41" s="1">
        <v>0.44</v>
      </c>
      <c r="Q41" s="1">
        <v>1.7</v>
      </c>
      <c r="R41" s="1">
        <v>0.49</v>
      </c>
      <c r="S41" s="1">
        <v>2E-3</v>
      </c>
      <c r="T41" s="1">
        <v>0.01</v>
      </c>
      <c r="U41" s="1">
        <v>5.0000000000000001E-3</v>
      </c>
      <c r="V41" s="1">
        <v>2E-3</v>
      </c>
      <c r="W41" s="1">
        <v>1.6E-2</v>
      </c>
      <c r="X41" s="1">
        <v>1.7999999999999999E-2</v>
      </c>
      <c r="Y41" s="1">
        <v>2E-3</v>
      </c>
      <c r="Z41" s="1">
        <v>8.0000000000000002E-3</v>
      </c>
      <c r="AA41" s="1" t="s">
        <v>46</v>
      </c>
      <c r="AB41" s="1">
        <v>1.9E-3</v>
      </c>
      <c r="AC41" s="1">
        <v>2E-3</v>
      </c>
      <c r="AD41" s="1" t="s">
        <v>47</v>
      </c>
      <c r="AE41" s="1">
        <v>6.9999999999999999E-4</v>
      </c>
      <c r="AF41" s="15">
        <v>1.8E-3</v>
      </c>
      <c r="AG41" s="1">
        <v>2.5999999999999999E-3</v>
      </c>
      <c r="AH41" s="1">
        <v>2E-3</v>
      </c>
      <c r="AI41" s="1"/>
      <c r="AJ41" s="188">
        <v>3.2000000000000002E-3</v>
      </c>
      <c r="AK41" s="385" t="s">
        <v>158</v>
      </c>
      <c r="AL41" s="74">
        <f t="shared" si="0"/>
        <v>0.63873333333333338</v>
      </c>
      <c r="AM41" s="13">
        <f t="shared" si="1"/>
        <v>0.29046666666666665</v>
      </c>
      <c r="AN41" s="81">
        <f t="shared" si="2"/>
        <v>0.51293116934258398</v>
      </c>
      <c r="AO41" s="85">
        <f t="shared" si="3"/>
        <v>0.36630000000000001</v>
      </c>
    </row>
    <row r="42" spans="2:41" hidden="1" x14ac:dyDescent="0.25">
      <c r="B42" s="41">
        <v>2</v>
      </c>
      <c r="C42" s="116" t="s">
        <v>54</v>
      </c>
      <c r="D42" s="10">
        <v>4707</v>
      </c>
      <c r="E42" s="10" t="s">
        <v>41</v>
      </c>
      <c r="F42" s="10" t="s">
        <v>51</v>
      </c>
      <c r="G42" s="10" t="s">
        <v>43</v>
      </c>
      <c r="H42" s="10">
        <v>3</v>
      </c>
      <c r="I42" s="77" t="s">
        <v>56</v>
      </c>
      <c r="J42" s="46"/>
      <c r="K42" s="185">
        <v>0.13</v>
      </c>
      <c r="L42" s="1">
        <v>0.44</v>
      </c>
      <c r="M42" s="1">
        <v>1.2</v>
      </c>
      <c r="N42" s="1">
        <v>8.0000000000000002E-3</v>
      </c>
      <c r="O42" s="183">
        <v>1.6500000000000001E-2</v>
      </c>
      <c r="P42" s="1">
        <v>0.46</v>
      </c>
      <c r="Q42" s="1">
        <v>1.62</v>
      </c>
      <c r="R42" s="1">
        <v>0.48</v>
      </c>
      <c r="S42" s="1">
        <v>2E-3</v>
      </c>
      <c r="T42" s="1">
        <v>0.01</v>
      </c>
      <c r="U42" s="1">
        <v>5.0000000000000001E-3</v>
      </c>
      <c r="V42" s="1">
        <v>2E-3</v>
      </c>
      <c r="W42" s="1">
        <v>1.4999999999999999E-2</v>
      </c>
      <c r="X42" s="1">
        <v>1.7000000000000001E-2</v>
      </c>
      <c r="Y42" s="1" t="s">
        <v>46</v>
      </c>
      <c r="Z42" s="1">
        <v>8.0000000000000002E-3</v>
      </c>
      <c r="AA42" s="1" t="s">
        <v>46</v>
      </c>
      <c r="AB42" s="1">
        <v>1.4E-3</v>
      </c>
      <c r="AC42" s="1" t="s">
        <v>46</v>
      </c>
      <c r="AD42" s="1" t="s">
        <v>47</v>
      </c>
      <c r="AE42" s="1">
        <v>6.9999999999999999E-4</v>
      </c>
      <c r="AF42" s="15">
        <v>3.0000000000000001E-3</v>
      </c>
      <c r="AG42" s="1">
        <v>6.2399999999999997E-2</v>
      </c>
      <c r="AH42" s="1">
        <v>1.2999999999999999E-2</v>
      </c>
      <c r="AI42" s="1"/>
      <c r="AJ42" s="188">
        <v>8.8000000000000005E-3</v>
      </c>
      <c r="AK42" s="385"/>
      <c r="AL42" s="74">
        <f t="shared" si="0"/>
        <v>0.62799999999999989</v>
      </c>
      <c r="AM42" s="13">
        <f t="shared" si="1"/>
        <v>0.29141666666666666</v>
      </c>
      <c r="AN42" s="81">
        <f t="shared" si="2"/>
        <v>0.52146531837286902</v>
      </c>
      <c r="AO42" s="85">
        <f t="shared" si="3"/>
        <v>0.36224999999999996</v>
      </c>
    </row>
    <row r="43" spans="2:41" hidden="1" x14ac:dyDescent="0.25">
      <c r="B43" s="41">
        <v>3</v>
      </c>
      <c r="C43" s="116" t="s">
        <v>54</v>
      </c>
      <c r="D43" s="10">
        <v>4708</v>
      </c>
      <c r="E43" s="10" t="s">
        <v>41</v>
      </c>
      <c r="F43" s="10" t="s">
        <v>52</v>
      </c>
      <c r="G43" s="10" t="s">
        <v>43</v>
      </c>
      <c r="H43" s="10">
        <v>3</v>
      </c>
      <c r="I43" s="77" t="s">
        <v>55</v>
      </c>
      <c r="J43" s="46"/>
      <c r="K43" s="185">
        <v>0.10100000000000001</v>
      </c>
      <c r="L43" s="1">
        <v>0.52</v>
      </c>
      <c r="M43" s="1">
        <v>1.53</v>
      </c>
      <c r="N43" s="1">
        <v>1.0999999999999999E-2</v>
      </c>
      <c r="O43" s="183">
        <v>6.4000000000000003E-3</v>
      </c>
      <c r="P43" s="1">
        <v>0.3</v>
      </c>
      <c r="Q43" s="1">
        <v>1.34</v>
      </c>
      <c r="R43" s="1">
        <v>0.35</v>
      </c>
      <c r="S43" s="1">
        <v>4.0000000000000001E-3</v>
      </c>
      <c r="T43" s="1">
        <v>8.0000000000000002E-3</v>
      </c>
      <c r="U43" s="1">
        <v>5.0000000000000001E-3</v>
      </c>
      <c r="V43" s="1">
        <v>2E-3</v>
      </c>
      <c r="W43" s="1">
        <v>2.3E-2</v>
      </c>
      <c r="X43" s="1">
        <v>1.4E-2</v>
      </c>
      <c r="Y43" s="1">
        <v>2E-3</v>
      </c>
      <c r="Z43" s="1">
        <v>3.3999999999999998E-3</v>
      </c>
      <c r="AA43" s="1" t="s">
        <v>46</v>
      </c>
      <c r="AB43" s="1">
        <v>1.6999999999999999E-3</v>
      </c>
      <c r="AC43" s="1">
        <v>2E-3</v>
      </c>
      <c r="AD43" s="1" t="s">
        <v>47</v>
      </c>
      <c r="AE43" s="1">
        <v>1E-3</v>
      </c>
      <c r="AF43" s="15">
        <v>1.4E-3</v>
      </c>
      <c r="AG43" s="1">
        <v>2.9999999999999997E-4</v>
      </c>
      <c r="AH43" s="1">
        <v>4.0000000000000002E-4</v>
      </c>
      <c r="AI43" s="1"/>
      <c r="AJ43" s="188">
        <v>3.5999999999999999E-3</v>
      </c>
      <c r="AK43" s="385"/>
      <c r="AL43" s="74">
        <f t="shared" si="0"/>
        <v>0.57786666666666653</v>
      </c>
      <c r="AM43" s="13">
        <f t="shared" si="1"/>
        <v>0.26215000000000005</v>
      </c>
      <c r="AN43" s="81">
        <f t="shared" si="2"/>
        <v>0.41523340523807528</v>
      </c>
      <c r="AO43" s="85">
        <f t="shared" si="3"/>
        <v>0.33865000000000001</v>
      </c>
    </row>
    <row r="44" spans="2:41" hidden="1" x14ac:dyDescent="0.25">
      <c r="B44" s="41">
        <v>4</v>
      </c>
      <c r="C44" s="116" t="s">
        <v>54</v>
      </c>
      <c r="D44" s="10">
        <v>4709</v>
      </c>
      <c r="E44" s="10" t="s">
        <v>41</v>
      </c>
      <c r="F44" s="10" t="s">
        <v>52</v>
      </c>
      <c r="G44" s="10" t="s">
        <v>43</v>
      </c>
      <c r="H44" s="10">
        <v>3</v>
      </c>
      <c r="I44" s="77" t="s">
        <v>56</v>
      </c>
      <c r="J44" s="46"/>
      <c r="K44" s="185">
        <v>0.104</v>
      </c>
      <c r="L44" s="1">
        <v>0.49</v>
      </c>
      <c r="M44" s="1">
        <v>1.48</v>
      </c>
      <c r="N44" s="1">
        <v>0.01</v>
      </c>
      <c r="O44" s="183">
        <v>6.1999999999999998E-3</v>
      </c>
      <c r="P44" s="1">
        <v>0.3</v>
      </c>
      <c r="Q44" s="1">
        <v>1.26</v>
      </c>
      <c r="R44" s="1">
        <v>0.34</v>
      </c>
      <c r="S44" s="1">
        <v>4.0000000000000001E-3</v>
      </c>
      <c r="T44" s="1">
        <v>8.0000000000000002E-3</v>
      </c>
      <c r="U44" s="1">
        <v>5.0000000000000001E-3</v>
      </c>
      <c r="V44" s="1">
        <v>2E-3</v>
      </c>
      <c r="W44" s="1">
        <v>2.1999999999999999E-2</v>
      </c>
      <c r="X44" s="1">
        <v>1.4E-2</v>
      </c>
      <c r="Y44" s="1">
        <v>2E-3</v>
      </c>
      <c r="Z44" s="1">
        <v>3.3999999999999998E-3</v>
      </c>
      <c r="AA44" s="1" t="s">
        <v>46</v>
      </c>
      <c r="AB44" s="1">
        <v>1.6000000000000001E-3</v>
      </c>
      <c r="AC44" s="1">
        <v>2E-3</v>
      </c>
      <c r="AD44" s="1" t="s">
        <v>47</v>
      </c>
      <c r="AE44" s="1">
        <v>1.1000000000000001E-3</v>
      </c>
      <c r="AF44" s="15">
        <v>1.8E-3</v>
      </c>
      <c r="AG44" s="1">
        <v>5.0000000000000001E-4</v>
      </c>
      <c r="AH44" s="1">
        <v>5.0000000000000001E-4</v>
      </c>
      <c r="AI44" s="1"/>
      <c r="AJ44" s="188">
        <v>3.0000000000000001E-3</v>
      </c>
      <c r="AK44" s="385"/>
      <c r="AL44" s="74">
        <f t="shared" si="0"/>
        <v>0.56513333333333338</v>
      </c>
      <c r="AM44" s="13">
        <f t="shared" si="1"/>
        <v>0.26009999999999994</v>
      </c>
      <c r="AN44" s="81">
        <f t="shared" si="2"/>
        <v>0.41404569616675857</v>
      </c>
      <c r="AO44" s="85">
        <f t="shared" si="3"/>
        <v>0.33360000000000001</v>
      </c>
    </row>
    <row r="45" spans="2:41" hidden="1" x14ac:dyDescent="0.25">
      <c r="B45" s="41">
        <v>7</v>
      </c>
      <c r="C45" s="116" t="s">
        <v>54</v>
      </c>
      <c r="D45" s="10">
        <v>4710</v>
      </c>
      <c r="E45" s="10" t="s">
        <v>42</v>
      </c>
      <c r="F45" s="10" t="s">
        <v>53</v>
      </c>
      <c r="G45" s="10" t="s">
        <v>43</v>
      </c>
      <c r="H45" s="10">
        <v>3</v>
      </c>
      <c r="I45" s="77" t="s">
        <v>55</v>
      </c>
      <c r="J45" s="46"/>
      <c r="K45" s="185">
        <v>0.122</v>
      </c>
      <c r="L45" s="1">
        <v>0.44</v>
      </c>
      <c r="M45" s="1">
        <v>1.28</v>
      </c>
      <c r="N45" s="1">
        <v>8.0000000000000002E-3</v>
      </c>
      <c r="O45" s="183">
        <v>5.7000000000000002E-3</v>
      </c>
      <c r="P45" s="1">
        <v>0.45</v>
      </c>
      <c r="Q45" s="1">
        <v>1.79</v>
      </c>
      <c r="R45" s="1">
        <v>0.67</v>
      </c>
      <c r="S45" s="1">
        <v>3.0000000000000001E-3</v>
      </c>
      <c r="T45" s="1">
        <v>0.01</v>
      </c>
      <c r="U45" s="1">
        <v>1.4E-2</v>
      </c>
      <c r="V45" s="1">
        <v>7.0000000000000001E-3</v>
      </c>
      <c r="W45" s="1">
        <v>0.02</v>
      </c>
      <c r="X45" s="1">
        <v>2.1000000000000001E-2</v>
      </c>
      <c r="Y45" s="1">
        <v>2E-3</v>
      </c>
      <c r="Z45" s="1">
        <v>1.4E-2</v>
      </c>
      <c r="AA45" s="1" t="s">
        <v>46</v>
      </c>
      <c r="AB45" s="1">
        <v>2E-3</v>
      </c>
      <c r="AC45" s="1">
        <v>2E-3</v>
      </c>
      <c r="AD45" s="1" t="s">
        <v>47</v>
      </c>
      <c r="AE45" s="1">
        <v>5.0000000000000001E-4</v>
      </c>
      <c r="AF45" s="15">
        <v>2E-3</v>
      </c>
      <c r="AG45" s="1">
        <v>8.9999999999999998E-4</v>
      </c>
      <c r="AH45" s="1">
        <v>1.6999999999999999E-3</v>
      </c>
      <c r="AI45" s="1"/>
      <c r="AJ45" s="188">
        <v>4.4000000000000003E-3</v>
      </c>
      <c r="AK45" s="385"/>
      <c r="AL45" s="74">
        <f t="shared" si="0"/>
        <v>0.68280000000000007</v>
      </c>
      <c r="AM45" s="13">
        <f t="shared" si="1"/>
        <v>0.30256666666666671</v>
      </c>
      <c r="AN45" s="81">
        <f t="shared" si="2"/>
        <v>0.54052906481183938</v>
      </c>
      <c r="AO45" s="85">
        <f t="shared" si="3"/>
        <v>0.38525000000000004</v>
      </c>
    </row>
    <row r="46" spans="2:41" hidden="1" x14ac:dyDescent="0.25">
      <c r="B46" s="41">
        <v>8</v>
      </c>
      <c r="C46" s="116" t="s">
        <v>54</v>
      </c>
      <c r="D46" s="10">
        <v>4711</v>
      </c>
      <c r="E46" s="10" t="s">
        <v>42</v>
      </c>
      <c r="F46" s="10" t="s">
        <v>53</v>
      </c>
      <c r="G46" s="10" t="s">
        <v>43</v>
      </c>
      <c r="H46" s="10">
        <v>3</v>
      </c>
      <c r="I46" s="77" t="s">
        <v>56</v>
      </c>
      <c r="J46" s="46"/>
      <c r="K46" s="185">
        <v>0.13400000000000001</v>
      </c>
      <c r="L46" s="1">
        <v>0.44</v>
      </c>
      <c r="M46" s="1">
        <v>1.25</v>
      </c>
      <c r="N46" s="1">
        <v>8.0000000000000002E-3</v>
      </c>
      <c r="O46" s="183">
        <v>5.5999999999999999E-3</v>
      </c>
      <c r="P46" s="1">
        <v>0.38</v>
      </c>
      <c r="Q46" s="1">
        <v>1.62</v>
      </c>
      <c r="R46" s="1">
        <v>0.66</v>
      </c>
      <c r="S46" s="1">
        <v>4.0000000000000001E-3</v>
      </c>
      <c r="T46" s="1">
        <v>1.0999999999999999E-2</v>
      </c>
      <c r="U46" s="1">
        <v>1.6E-2</v>
      </c>
      <c r="V46" s="1">
        <v>8.0000000000000002E-3</v>
      </c>
      <c r="W46" s="1">
        <v>1.9E-2</v>
      </c>
      <c r="X46" s="1">
        <v>2.7E-2</v>
      </c>
      <c r="Y46" s="1">
        <v>1E-3</v>
      </c>
      <c r="Z46" s="1">
        <v>1.2999999999999999E-2</v>
      </c>
      <c r="AA46" s="1" t="s">
        <v>46</v>
      </c>
      <c r="AB46" s="1">
        <v>1.9E-3</v>
      </c>
      <c r="AC46" s="1">
        <v>1E-3</v>
      </c>
      <c r="AD46" s="1" t="s">
        <v>47</v>
      </c>
      <c r="AE46" s="1">
        <v>5.9999999999999995E-4</v>
      </c>
      <c r="AF46" s="15">
        <v>3.0000000000000001E-3</v>
      </c>
      <c r="AG46" s="1">
        <v>2.93E-2</v>
      </c>
      <c r="AH46" s="1">
        <v>8.0000000000000002E-3</v>
      </c>
      <c r="AI46" s="1"/>
      <c r="AJ46" s="188">
        <v>3.8999999999999998E-3</v>
      </c>
      <c r="AK46" s="385"/>
      <c r="AL46" s="74">
        <f t="shared" si="0"/>
        <v>0.66280000000000006</v>
      </c>
      <c r="AM46" s="13">
        <f t="shared" si="1"/>
        <v>0.30671666666666664</v>
      </c>
      <c r="AN46" s="81">
        <f t="shared" si="2"/>
        <v>0.56089591934145133</v>
      </c>
      <c r="AO46" s="85">
        <f t="shared" si="3"/>
        <v>0.38545000000000001</v>
      </c>
    </row>
    <row r="47" spans="2:41" ht="6.75" customHeight="1" x14ac:dyDescent="0.25">
      <c r="B47" s="41"/>
      <c r="C47" s="116"/>
      <c r="D47" s="10"/>
      <c r="E47" s="115"/>
      <c r="F47" s="10"/>
      <c r="G47" s="10"/>
      <c r="H47" s="10"/>
      <c r="I47" s="77"/>
      <c r="J47" s="46"/>
      <c r="K47" s="15"/>
      <c r="L47" s="12"/>
      <c r="M47" s="12"/>
      <c r="N47" s="1"/>
      <c r="O47" s="1"/>
      <c r="P47" s="1"/>
      <c r="Q47" s="45"/>
      <c r="R47" s="1"/>
      <c r="S47" s="1"/>
      <c r="T47" s="1"/>
      <c r="U47" s="1"/>
      <c r="V47" s="1"/>
      <c r="W47" s="1"/>
      <c r="X47" s="1"/>
      <c r="Y47" s="15"/>
      <c r="Z47" s="15"/>
      <c r="AA47" s="1"/>
      <c r="AB47" s="1"/>
      <c r="AC47" s="1"/>
      <c r="AD47" s="1"/>
      <c r="AE47" s="1"/>
      <c r="AF47" s="43"/>
      <c r="AG47" s="1"/>
      <c r="AH47" s="1"/>
      <c r="AI47" s="15"/>
      <c r="AJ47" s="44"/>
      <c r="AK47" s="21"/>
      <c r="AL47" s="74"/>
      <c r="AM47" s="13"/>
      <c r="AN47" s="81"/>
      <c r="AO47" s="85"/>
    </row>
    <row r="48" spans="2:41" x14ac:dyDescent="0.25">
      <c r="B48" s="41">
        <v>1</v>
      </c>
      <c r="C48" s="116" t="s">
        <v>54</v>
      </c>
      <c r="D48" s="10">
        <v>4706</v>
      </c>
      <c r="E48" s="10" t="s">
        <v>41</v>
      </c>
      <c r="F48" s="10" t="s">
        <v>51</v>
      </c>
      <c r="G48" s="10" t="s">
        <v>43</v>
      </c>
      <c r="H48" s="10">
        <v>3</v>
      </c>
      <c r="I48" s="77" t="s">
        <v>55</v>
      </c>
      <c r="J48" s="46"/>
      <c r="K48" s="1">
        <v>0.12</v>
      </c>
      <c r="L48" s="1">
        <v>0.42</v>
      </c>
      <c r="M48" s="1">
        <v>1.23</v>
      </c>
      <c r="N48" s="1">
        <v>0.01</v>
      </c>
      <c r="O48" s="15">
        <v>7.0000000000000001E-3</v>
      </c>
      <c r="P48" s="1">
        <v>0.44</v>
      </c>
      <c r="Q48" s="1">
        <v>1.66</v>
      </c>
      <c r="R48" s="1">
        <v>0.49</v>
      </c>
      <c r="S48" s="1">
        <v>2E-3</v>
      </c>
      <c r="T48" s="1">
        <v>0.01</v>
      </c>
      <c r="U48" s="1">
        <v>5.0000000000000001E-3</v>
      </c>
      <c r="V48" s="1">
        <v>3.0000000000000001E-3</v>
      </c>
      <c r="W48" s="1">
        <v>1.6E-2</v>
      </c>
      <c r="X48" s="1">
        <v>1.6E-2</v>
      </c>
      <c r="Y48" s="1">
        <v>2E-3</v>
      </c>
      <c r="Z48" s="1">
        <v>8.0000000000000002E-3</v>
      </c>
      <c r="AA48" s="1" t="s">
        <v>46</v>
      </c>
      <c r="AB48" s="1">
        <v>1.9E-3</v>
      </c>
      <c r="AC48" s="1">
        <v>2E-3</v>
      </c>
      <c r="AD48" s="1" t="s">
        <v>47</v>
      </c>
      <c r="AE48" s="1">
        <v>6.9999999999999999E-4</v>
      </c>
      <c r="AF48" s="1">
        <v>3.0000000000000001E-3</v>
      </c>
      <c r="AG48" s="1">
        <v>5.9999999999999995E-4</v>
      </c>
      <c r="AH48" s="1">
        <v>1.9E-3</v>
      </c>
      <c r="AI48" s="1">
        <v>2.5999999999999999E-2</v>
      </c>
      <c r="AJ48" s="53">
        <v>5.0000000000000001E-3</v>
      </c>
      <c r="AK48" s="385" t="s">
        <v>159</v>
      </c>
      <c r="AL48" s="74">
        <f t="shared" si="0"/>
        <v>0.62373333333333325</v>
      </c>
      <c r="AM48" s="13">
        <f t="shared" si="1"/>
        <v>0.28263333333333335</v>
      </c>
      <c r="AN48" s="81">
        <f t="shared" si="2"/>
        <v>0.49062499999999992</v>
      </c>
      <c r="AO48" s="85">
        <f t="shared" si="3"/>
        <v>0.35630000000000001</v>
      </c>
    </row>
    <row r="49" spans="2:41" x14ac:dyDescent="0.25">
      <c r="B49" s="41">
        <v>2</v>
      </c>
      <c r="C49" s="116" t="s">
        <v>54</v>
      </c>
      <c r="D49" s="10">
        <v>4707</v>
      </c>
      <c r="E49" s="10" t="s">
        <v>41</v>
      </c>
      <c r="F49" s="10" t="s">
        <v>51</v>
      </c>
      <c r="G49" s="10" t="s">
        <v>43</v>
      </c>
      <c r="H49" s="10">
        <v>3</v>
      </c>
      <c r="I49" s="77" t="s">
        <v>56</v>
      </c>
      <c r="J49" s="46"/>
      <c r="K49" s="1">
        <v>0.11</v>
      </c>
      <c r="L49" s="1">
        <v>0.44</v>
      </c>
      <c r="M49" s="1">
        <v>1.26</v>
      </c>
      <c r="N49" s="1">
        <v>0.01</v>
      </c>
      <c r="O49" s="15">
        <v>8.9999999999999993E-3</v>
      </c>
      <c r="P49" s="1">
        <v>0.48</v>
      </c>
      <c r="Q49" s="1">
        <v>2.0299999999999998</v>
      </c>
      <c r="R49" s="1">
        <v>0.55000000000000004</v>
      </c>
      <c r="S49" s="1">
        <v>3.0000000000000001E-3</v>
      </c>
      <c r="T49" s="1">
        <v>8.9999999999999993E-3</v>
      </c>
      <c r="U49" s="1">
        <v>4.0000000000000001E-3</v>
      </c>
      <c r="V49" s="1">
        <v>3.0000000000000001E-3</v>
      </c>
      <c r="W49" s="1">
        <v>1.7999999999999999E-2</v>
      </c>
      <c r="X49" s="1">
        <v>1.0999999999999999E-2</v>
      </c>
      <c r="Y49" s="1">
        <v>2E-3</v>
      </c>
      <c r="Z49" s="1">
        <v>7.0000000000000001E-3</v>
      </c>
      <c r="AA49" s="1" t="s">
        <v>46</v>
      </c>
      <c r="AB49" s="1">
        <v>2E-3</v>
      </c>
      <c r="AC49" s="1">
        <v>2E-3</v>
      </c>
      <c r="AD49" s="1" t="s">
        <v>47</v>
      </c>
      <c r="AE49" s="1">
        <v>5.9999999999999995E-4</v>
      </c>
      <c r="AF49" s="1">
        <v>3.0000000000000001E-3</v>
      </c>
      <c r="AG49" s="1">
        <v>5.0000000000000001E-4</v>
      </c>
      <c r="AH49" s="1">
        <v>1.4E-3</v>
      </c>
      <c r="AI49" s="1">
        <v>2.1999999999999999E-2</v>
      </c>
      <c r="AJ49" s="53">
        <v>8.9999999999999993E-3</v>
      </c>
      <c r="AK49" s="385"/>
      <c r="AL49" s="74">
        <f t="shared" si="0"/>
        <v>0.66333333333333333</v>
      </c>
      <c r="AM49" s="13">
        <f t="shared" si="1"/>
        <v>0.28646666666666665</v>
      </c>
      <c r="AN49" s="81">
        <f t="shared" si="2"/>
        <v>0.48725663710339279</v>
      </c>
      <c r="AO49" s="85">
        <f t="shared" si="3"/>
        <v>0.36665000000000003</v>
      </c>
    </row>
    <row r="50" spans="2:41" x14ac:dyDescent="0.25">
      <c r="B50" s="41">
        <v>3</v>
      </c>
      <c r="C50" s="116" t="s">
        <v>54</v>
      </c>
      <c r="D50" s="10">
        <v>4708</v>
      </c>
      <c r="E50" s="10" t="s">
        <v>41</v>
      </c>
      <c r="F50" s="10" t="s">
        <v>52</v>
      </c>
      <c r="G50" s="10" t="s">
        <v>43</v>
      </c>
      <c r="H50" s="10">
        <v>3</v>
      </c>
      <c r="I50" s="77" t="s">
        <v>55</v>
      </c>
      <c r="J50" s="46"/>
      <c r="K50" s="1">
        <v>0.11</v>
      </c>
      <c r="L50" s="1">
        <v>0.52</v>
      </c>
      <c r="M50" s="1">
        <v>1.53</v>
      </c>
      <c r="N50" s="1">
        <v>1.0999999999999999E-2</v>
      </c>
      <c r="O50" s="15">
        <v>5.0000000000000001E-3</v>
      </c>
      <c r="P50" s="1">
        <v>0.3</v>
      </c>
      <c r="Q50" s="1">
        <v>1.36</v>
      </c>
      <c r="R50" s="1">
        <v>0.36</v>
      </c>
      <c r="S50" s="1">
        <v>5.0000000000000001E-3</v>
      </c>
      <c r="T50" s="1">
        <v>8.0000000000000002E-3</v>
      </c>
      <c r="U50" s="1">
        <v>5.0000000000000001E-3</v>
      </c>
      <c r="V50" s="1">
        <v>3.0000000000000001E-3</v>
      </c>
      <c r="W50" s="1">
        <v>2.4E-2</v>
      </c>
      <c r="X50" s="1">
        <v>1.2E-2</v>
      </c>
      <c r="Y50" s="1">
        <v>2E-3</v>
      </c>
      <c r="Z50" s="1">
        <v>3.3E-3</v>
      </c>
      <c r="AA50" s="1" t="s">
        <v>46</v>
      </c>
      <c r="AB50" s="1">
        <v>1.6999999999999999E-3</v>
      </c>
      <c r="AC50" s="1">
        <v>2E-3</v>
      </c>
      <c r="AD50" s="1" t="s">
        <v>47</v>
      </c>
      <c r="AE50" s="1">
        <v>1E-3</v>
      </c>
      <c r="AF50" s="1">
        <v>2E-3</v>
      </c>
      <c r="AG50" s="1">
        <v>2.9999999999999997E-4</v>
      </c>
      <c r="AH50" s="1">
        <v>5.0000000000000001E-4</v>
      </c>
      <c r="AI50" s="1">
        <v>2.7E-2</v>
      </c>
      <c r="AJ50" s="53">
        <v>7.0000000000000001E-3</v>
      </c>
      <c r="AK50" s="385"/>
      <c r="AL50" s="74">
        <f t="shared" si="0"/>
        <v>0.59026666666666661</v>
      </c>
      <c r="AM50" s="13">
        <f t="shared" si="1"/>
        <v>0.2722</v>
      </c>
      <c r="AN50" s="81">
        <f t="shared" si="2"/>
        <v>0.44622154075035231</v>
      </c>
      <c r="AO50" s="85">
        <f t="shared" si="3"/>
        <v>0.34919999999999995</v>
      </c>
    </row>
    <row r="51" spans="2:41" x14ac:dyDescent="0.25">
      <c r="B51" s="41">
        <v>4</v>
      </c>
      <c r="C51" s="116" t="s">
        <v>54</v>
      </c>
      <c r="D51" s="10">
        <v>4709</v>
      </c>
      <c r="E51" s="10" t="s">
        <v>41</v>
      </c>
      <c r="F51" s="10" t="s">
        <v>52</v>
      </c>
      <c r="G51" s="10" t="s">
        <v>43</v>
      </c>
      <c r="H51" s="10">
        <v>3</v>
      </c>
      <c r="I51" s="77" t="s">
        <v>56</v>
      </c>
      <c r="J51" s="46"/>
      <c r="K51" s="12">
        <v>0.1</v>
      </c>
      <c r="L51" s="1">
        <v>0.49</v>
      </c>
      <c r="M51" s="1">
        <v>1.48</v>
      </c>
      <c r="N51" s="1">
        <v>1.0999999999999999E-2</v>
      </c>
      <c r="O51" s="15">
        <v>6.0000000000000001E-3</v>
      </c>
      <c r="P51" s="1">
        <v>0.3</v>
      </c>
      <c r="Q51" s="1">
        <v>1.32</v>
      </c>
      <c r="R51" s="1">
        <v>0.35</v>
      </c>
      <c r="S51" s="1">
        <v>4.0000000000000001E-3</v>
      </c>
      <c r="T51" s="1">
        <v>8.0000000000000002E-3</v>
      </c>
      <c r="U51" s="1">
        <v>5.0000000000000001E-3</v>
      </c>
      <c r="V51" s="1">
        <v>3.0000000000000001E-3</v>
      </c>
      <c r="W51" s="1">
        <v>2.4E-2</v>
      </c>
      <c r="X51" s="1">
        <v>1.2E-2</v>
      </c>
      <c r="Y51" s="1">
        <v>2E-3</v>
      </c>
      <c r="Z51" s="1">
        <v>3.2000000000000002E-3</v>
      </c>
      <c r="AA51" s="1" t="s">
        <v>46</v>
      </c>
      <c r="AB51" s="1">
        <v>1.6000000000000001E-3</v>
      </c>
      <c r="AC51" s="1">
        <v>2E-3</v>
      </c>
      <c r="AD51" s="1" t="s">
        <v>47</v>
      </c>
      <c r="AE51" s="1">
        <v>1.1999999999999999E-3</v>
      </c>
      <c r="AF51" s="1">
        <v>2E-3</v>
      </c>
      <c r="AG51" s="1">
        <v>2.0000000000000001E-4</v>
      </c>
      <c r="AH51" s="1">
        <v>5.0000000000000001E-4</v>
      </c>
      <c r="AI51" s="1">
        <v>3.2000000000000001E-2</v>
      </c>
      <c r="AJ51" s="53">
        <v>8.9999999999999993E-3</v>
      </c>
      <c r="AK51" s="385"/>
      <c r="AL51" s="74">
        <f t="shared" si="0"/>
        <v>0.5672666666666667</v>
      </c>
      <c r="AM51" s="13">
        <f t="shared" si="1"/>
        <v>0.25836666666666669</v>
      </c>
      <c r="AN51" s="81">
        <f t="shared" si="2"/>
        <v>0.40542153284577331</v>
      </c>
      <c r="AO51" s="85">
        <f t="shared" si="3"/>
        <v>0.33219999999999994</v>
      </c>
    </row>
    <row r="52" spans="2:41" x14ac:dyDescent="0.25">
      <c r="B52" s="41">
        <v>7</v>
      </c>
      <c r="C52" s="116" t="s">
        <v>54</v>
      </c>
      <c r="D52" s="10">
        <v>4710</v>
      </c>
      <c r="E52" s="10" t="s">
        <v>42</v>
      </c>
      <c r="F52" s="10" t="s">
        <v>53</v>
      </c>
      <c r="G52" s="10" t="s">
        <v>43</v>
      </c>
      <c r="H52" s="10">
        <v>3</v>
      </c>
      <c r="I52" s="77" t="s">
        <v>55</v>
      </c>
      <c r="J52" s="46"/>
      <c r="K52" s="1">
        <v>0.13</v>
      </c>
      <c r="L52" s="1">
        <v>0.43</v>
      </c>
      <c r="M52" s="1">
        <v>1.26</v>
      </c>
      <c r="N52" s="1">
        <v>8.0000000000000002E-3</v>
      </c>
      <c r="O52" s="15">
        <v>5.0000000000000001E-3</v>
      </c>
      <c r="P52" s="1">
        <v>0.42</v>
      </c>
      <c r="Q52" s="1">
        <v>1.82</v>
      </c>
      <c r="R52" s="1">
        <v>0.67</v>
      </c>
      <c r="S52" s="1">
        <v>4.0000000000000001E-3</v>
      </c>
      <c r="T52" s="1">
        <v>0.01</v>
      </c>
      <c r="U52" s="1">
        <v>1.4E-2</v>
      </c>
      <c r="V52" s="1">
        <v>7.0000000000000001E-3</v>
      </c>
      <c r="W52" s="1">
        <v>0.02</v>
      </c>
      <c r="X52" s="1">
        <v>1.9E-2</v>
      </c>
      <c r="Y52" s="1">
        <v>2E-3</v>
      </c>
      <c r="Z52" s="1">
        <v>1.2E-2</v>
      </c>
      <c r="AA52" s="1" t="s">
        <v>46</v>
      </c>
      <c r="AB52" s="1">
        <v>2E-3</v>
      </c>
      <c r="AC52" s="1">
        <v>2E-3</v>
      </c>
      <c r="AD52" s="1" t="s">
        <v>47</v>
      </c>
      <c r="AE52" s="1">
        <v>5.0000000000000001E-4</v>
      </c>
      <c r="AF52" s="1">
        <v>2E-3</v>
      </c>
      <c r="AG52" s="1">
        <v>8.0000000000000004E-4</v>
      </c>
      <c r="AH52" s="1">
        <v>1.6999999999999999E-3</v>
      </c>
      <c r="AI52" s="1">
        <v>1.4999999999999999E-2</v>
      </c>
      <c r="AJ52" s="53">
        <v>4.0000000000000001E-3</v>
      </c>
      <c r="AK52" s="385"/>
      <c r="AL52" s="74">
        <f t="shared" si="0"/>
        <v>0.68346666666666667</v>
      </c>
      <c r="AM52" s="13">
        <f t="shared" si="1"/>
        <v>0.30823333333333336</v>
      </c>
      <c r="AN52" s="81">
        <f t="shared" si="2"/>
        <v>0.56360406061399981</v>
      </c>
      <c r="AO52" s="85">
        <f t="shared" si="3"/>
        <v>0.39050000000000001</v>
      </c>
    </row>
    <row r="53" spans="2:41" x14ac:dyDescent="0.25">
      <c r="B53" s="41">
        <v>8</v>
      </c>
      <c r="C53" s="116" t="s">
        <v>54</v>
      </c>
      <c r="D53" s="10">
        <v>4711</v>
      </c>
      <c r="E53" s="10" t="s">
        <v>42</v>
      </c>
      <c r="F53" s="10" t="s">
        <v>53</v>
      </c>
      <c r="G53" s="10" t="s">
        <v>43</v>
      </c>
      <c r="H53" s="10">
        <v>3</v>
      </c>
      <c r="I53" s="77" t="s">
        <v>56</v>
      </c>
      <c r="J53" s="46"/>
      <c r="K53" s="1">
        <v>0.12</v>
      </c>
      <c r="L53" s="1">
        <v>0.48</v>
      </c>
      <c r="M53" s="1">
        <v>1.28</v>
      </c>
      <c r="N53" s="1">
        <v>8.9999999999999993E-3</v>
      </c>
      <c r="O53" s="15">
        <v>7.0000000000000001E-3</v>
      </c>
      <c r="P53" s="1">
        <v>0.5</v>
      </c>
      <c r="Q53" s="1">
        <v>2.0699999999999998</v>
      </c>
      <c r="R53" s="1">
        <v>0.68</v>
      </c>
      <c r="S53" s="1">
        <v>4.0000000000000001E-3</v>
      </c>
      <c r="T53" s="1">
        <v>8.9999999999999993E-3</v>
      </c>
      <c r="U53" s="1">
        <v>0.01</v>
      </c>
      <c r="V53" s="1">
        <v>7.0000000000000001E-3</v>
      </c>
      <c r="W53" s="1">
        <v>2.3E-2</v>
      </c>
      <c r="X53" s="1">
        <v>1.6E-2</v>
      </c>
      <c r="Y53" s="1">
        <v>2E-3</v>
      </c>
      <c r="Z53" s="1">
        <v>1.2999999999999999E-2</v>
      </c>
      <c r="AA53" s="1" t="s">
        <v>46</v>
      </c>
      <c r="AB53" s="1">
        <v>2E-3</v>
      </c>
      <c r="AC53" s="1">
        <v>2E-3</v>
      </c>
      <c r="AD53" s="1" t="s">
        <v>47</v>
      </c>
      <c r="AE53" s="1">
        <v>4.0000000000000002E-4</v>
      </c>
      <c r="AF53" s="1">
        <v>3.0000000000000001E-3</v>
      </c>
      <c r="AG53" s="1">
        <v>8.0000000000000004E-4</v>
      </c>
      <c r="AH53" s="1">
        <v>1.2999999999999999E-3</v>
      </c>
      <c r="AI53" s="1">
        <v>3.5000000000000003E-2</v>
      </c>
      <c r="AJ53" s="53">
        <v>1.0999999999999999E-2</v>
      </c>
      <c r="AK53" s="385"/>
      <c r="AL53" s="74">
        <f t="shared" si="0"/>
        <v>0.71086666666666665</v>
      </c>
      <c r="AM53" s="13">
        <f t="shared" si="1"/>
        <v>0.30898333333333339</v>
      </c>
      <c r="AN53" s="81">
        <f t="shared" si="2"/>
        <v>0.55332499999999996</v>
      </c>
      <c r="AO53" s="85">
        <f t="shared" si="3"/>
        <v>0.39390000000000003</v>
      </c>
    </row>
    <row r="54" spans="2:41" ht="6.75" customHeight="1" x14ac:dyDescent="0.25">
      <c r="B54" s="41"/>
      <c r="C54" s="116"/>
      <c r="D54" s="10"/>
      <c r="E54" s="115"/>
      <c r="F54" s="10"/>
      <c r="G54" s="10"/>
      <c r="H54" s="10"/>
      <c r="I54" s="77"/>
      <c r="J54" s="46"/>
      <c r="K54" s="15"/>
      <c r="L54" s="12"/>
      <c r="M54" s="12"/>
      <c r="N54" s="1"/>
      <c r="O54" s="1"/>
      <c r="P54" s="1"/>
      <c r="Q54" s="45"/>
      <c r="R54" s="1"/>
      <c r="S54" s="1"/>
      <c r="T54" s="1"/>
      <c r="U54" s="1"/>
      <c r="V54" s="1"/>
      <c r="W54" s="1"/>
      <c r="X54" s="1"/>
      <c r="Y54" s="15"/>
      <c r="Z54" s="15"/>
      <c r="AA54" s="1"/>
      <c r="AB54" s="1"/>
      <c r="AC54" s="1"/>
      <c r="AD54" s="1"/>
      <c r="AE54" s="1"/>
      <c r="AF54" s="43"/>
      <c r="AG54" s="1"/>
      <c r="AH54" s="1"/>
      <c r="AI54" s="15"/>
      <c r="AJ54" s="44"/>
      <c r="AK54" s="21"/>
      <c r="AL54" s="74"/>
      <c r="AM54" s="13"/>
      <c r="AN54" s="81"/>
      <c r="AO54" s="85"/>
    </row>
    <row r="55" spans="2:41" x14ac:dyDescent="0.25">
      <c r="B55" s="54">
        <v>1</v>
      </c>
      <c r="C55" s="116" t="s">
        <v>54</v>
      </c>
      <c r="D55" s="10"/>
      <c r="E55" s="10" t="s">
        <v>41</v>
      </c>
      <c r="F55" s="10" t="s">
        <v>51</v>
      </c>
      <c r="G55" s="10" t="s">
        <v>43</v>
      </c>
      <c r="H55" s="10"/>
      <c r="I55" s="77" t="s">
        <v>55</v>
      </c>
      <c r="J55" s="46"/>
      <c r="K55" s="1">
        <v>0.11</v>
      </c>
      <c r="L55" s="1">
        <v>0.54</v>
      </c>
      <c r="M55" s="1">
        <v>1.31</v>
      </c>
      <c r="N55" s="1">
        <v>0.01</v>
      </c>
      <c r="O55" s="15">
        <v>8.9999999999999993E-3</v>
      </c>
      <c r="P55" s="1">
        <v>0.51</v>
      </c>
      <c r="Q55" s="1">
        <v>2.41</v>
      </c>
      <c r="R55" s="1">
        <v>0.62</v>
      </c>
      <c r="S55" s="1">
        <v>4.0000000000000001E-3</v>
      </c>
      <c r="T55" s="1">
        <v>8.0000000000000002E-3</v>
      </c>
      <c r="U55" s="1">
        <v>3.0000000000000001E-3</v>
      </c>
      <c r="V55" s="1">
        <v>5.0000000000000001E-3</v>
      </c>
      <c r="W55" s="1">
        <v>0.02</v>
      </c>
      <c r="X55" s="1">
        <v>8.0000000000000002E-3</v>
      </c>
      <c r="Y55" s="1">
        <v>2E-3</v>
      </c>
      <c r="Z55" s="1">
        <v>8.0000000000000002E-3</v>
      </c>
      <c r="AA55" s="1" t="s">
        <v>49</v>
      </c>
      <c r="AB55" s="1">
        <v>3.0000000000000001E-3</v>
      </c>
      <c r="AC55" s="1"/>
      <c r="AD55" s="1" t="s">
        <v>50</v>
      </c>
      <c r="AE55" s="1">
        <v>4.0000000000000002E-4</v>
      </c>
      <c r="AF55" s="1">
        <v>4.0000000000000001E-3</v>
      </c>
      <c r="AG55" s="1">
        <v>6.9999999999999999E-4</v>
      </c>
      <c r="AH55" s="1">
        <v>1.5E-3</v>
      </c>
      <c r="AI55" s="1">
        <v>0.02</v>
      </c>
      <c r="AJ55" s="53">
        <v>2E-3</v>
      </c>
      <c r="AK55" s="21"/>
      <c r="AL55" s="74">
        <f t="shared" si="0"/>
        <v>0.71693333333333342</v>
      </c>
      <c r="AM55" s="13">
        <f t="shared" si="1"/>
        <v>0.30380000000000007</v>
      </c>
      <c r="AN55" s="81">
        <f t="shared" si="2"/>
        <v>0.5235739819121451</v>
      </c>
      <c r="AO55" s="85">
        <f t="shared" si="3"/>
        <v>0.38975000000000004</v>
      </c>
    </row>
    <row r="56" spans="2:41" x14ac:dyDescent="0.25">
      <c r="B56" s="54">
        <v>2</v>
      </c>
      <c r="C56" s="116" t="s">
        <v>54</v>
      </c>
      <c r="D56" s="10"/>
      <c r="E56" s="10" t="s">
        <v>41</v>
      </c>
      <c r="F56" s="10" t="s">
        <v>51</v>
      </c>
      <c r="G56" s="10" t="s">
        <v>43</v>
      </c>
      <c r="H56" s="10"/>
      <c r="I56" s="77" t="s">
        <v>56</v>
      </c>
      <c r="J56" s="46"/>
      <c r="K56" s="1">
        <v>0.1</v>
      </c>
      <c r="L56" s="1">
        <v>0.49</v>
      </c>
      <c r="M56" s="1">
        <v>1.23</v>
      </c>
      <c r="N56" s="1">
        <v>0.01</v>
      </c>
      <c r="O56" s="15">
        <v>0.01</v>
      </c>
      <c r="P56" s="1">
        <v>0.49</v>
      </c>
      <c r="Q56" s="1">
        <v>2.58</v>
      </c>
      <c r="R56" s="1">
        <v>0.64</v>
      </c>
      <c r="S56" s="1">
        <v>5.0000000000000001E-3</v>
      </c>
      <c r="T56" s="1">
        <v>8.0000000000000002E-3</v>
      </c>
      <c r="U56" s="1">
        <v>2E-3</v>
      </c>
      <c r="V56" s="1">
        <v>4.0000000000000001E-3</v>
      </c>
      <c r="W56" s="1">
        <v>0.02</v>
      </c>
      <c r="X56" s="1">
        <v>7.0000000000000001E-3</v>
      </c>
      <c r="Y56" s="1">
        <v>2E-3</v>
      </c>
      <c r="Z56" s="1">
        <v>8.0000000000000002E-3</v>
      </c>
      <c r="AA56" s="1" t="s">
        <v>49</v>
      </c>
      <c r="AB56" s="1">
        <v>3.0000000000000001E-3</v>
      </c>
      <c r="AC56" s="1"/>
      <c r="AD56" s="1" t="s">
        <v>50</v>
      </c>
      <c r="AE56" s="1">
        <v>4.0000000000000002E-4</v>
      </c>
      <c r="AF56" s="1">
        <v>3.0000000000000001E-3</v>
      </c>
      <c r="AG56" s="1">
        <v>6.9999999999999999E-4</v>
      </c>
      <c r="AH56" s="1">
        <v>1.6000000000000001E-3</v>
      </c>
      <c r="AI56" s="1">
        <v>2.3E-2</v>
      </c>
      <c r="AJ56" s="53">
        <v>2E-3</v>
      </c>
      <c r="AK56" s="21"/>
      <c r="AL56" s="74">
        <f t="shared" si="0"/>
        <v>0.70473333333333332</v>
      </c>
      <c r="AM56" s="13">
        <f t="shared" si="1"/>
        <v>0.29120000000000001</v>
      </c>
      <c r="AN56" s="81">
        <f t="shared" si="2"/>
        <v>0.48183968811332922</v>
      </c>
      <c r="AO56" s="85">
        <f t="shared" si="3"/>
        <v>0.37700000000000006</v>
      </c>
    </row>
    <row r="57" spans="2:41" x14ac:dyDescent="0.25">
      <c r="B57" s="41">
        <v>3</v>
      </c>
      <c r="C57" s="116" t="s">
        <v>54</v>
      </c>
      <c r="D57" s="10"/>
      <c r="E57" s="10" t="s">
        <v>41</v>
      </c>
      <c r="F57" s="10" t="s">
        <v>52</v>
      </c>
      <c r="G57" s="10" t="s">
        <v>43</v>
      </c>
      <c r="H57" s="10"/>
      <c r="I57" s="77" t="s">
        <v>55</v>
      </c>
      <c r="J57" s="46"/>
      <c r="K57" s="1">
        <v>0.1</v>
      </c>
      <c r="L57" s="1">
        <v>0.52</v>
      </c>
      <c r="M57" s="1">
        <v>1.45</v>
      </c>
      <c r="N57" s="1">
        <v>1.0999999999999999E-2</v>
      </c>
      <c r="O57" s="15">
        <v>7.0000000000000001E-3</v>
      </c>
      <c r="P57" s="1">
        <v>0.28999999999999998</v>
      </c>
      <c r="Q57" s="1">
        <v>1.46</v>
      </c>
      <c r="R57" s="1">
        <v>0.37</v>
      </c>
      <c r="S57" s="1">
        <v>6.0000000000000001E-3</v>
      </c>
      <c r="T57" s="1">
        <v>8.0000000000000002E-3</v>
      </c>
      <c r="U57" s="1">
        <v>4.0000000000000001E-3</v>
      </c>
      <c r="V57" s="1">
        <v>3.0000000000000001E-3</v>
      </c>
      <c r="W57" s="1">
        <v>0.02</v>
      </c>
      <c r="X57" s="1">
        <v>8.9999999999999993E-3</v>
      </c>
      <c r="Y57" s="1">
        <v>2E-3</v>
      </c>
      <c r="Z57" s="1">
        <v>3.0000000000000001E-3</v>
      </c>
      <c r="AA57" s="1" t="s">
        <v>49</v>
      </c>
      <c r="AB57" s="1">
        <v>2E-3</v>
      </c>
      <c r="AC57" s="1"/>
      <c r="AD57" s="1" t="s">
        <v>50</v>
      </c>
      <c r="AE57" s="1">
        <v>1.1000000000000001E-3</v>
      </c>
      <c r="AF57" s="1">
        <v>2E-3</v>
      </c>
      <c r="AG57" s="1">
        <v>2.0000000000000001E-4</v>
      </c>
      <c r="AH57" s="1">
        <v>5.0000000000000001E-4</v>
      </c>
      <c r="AI57" s="1">
        <v>0.02</v>
      </c>
      <c r="AJ57" s="53">
        <v>6.0000000000000001E-3</v>
      </c>
      <c r="AK57" s="21"/>
      <c r="AL57" s="74">
        <f t="shared" si="0"/>
        <v>0.57313333333333338</v>
      </c>
      <c r="AM57" s="13">
        <f t="shared" si="1"/>
        <v>0.26023333333333337</v>
      </c>
      <c r="AN57" s="81">
        <f t="shared" si="2"/>
        <v>0.4085546772117431</v>
      </c>
      <c r="AO57" s="85">
        <f t="shared" si="3"/>
        <v>0.33399999999999996</v>
      </c>
    </row>
    <row r="58" spans="2:41" x14ac:dyDescent="0.25">
      <c r="B58" s="54">
        <v>4</v>
      </c>
      <c r="C58" s="116" t="s">
        <v>54</v>
      </c>
      <c r="D58" s="10"/>
      <c r="E58" s="10" t="s">
        <v>41</v>
      </c>
      <c r="F58" s="10" t="s">
        <v>52</v>
      </c>
      <c r="G58" s="10" t="s">
        <v>43</v>
      </c>
      <c r="H58" s="10"/>
      <c r="I58" s="77" t="s">
        <v>56</v>
      </c>
      <c r="J58" s="46"/>
      <c r="K58" s="1">
        <v>0.1</v>
      </c>
      <c r="L58" s="1">
        <v>0.54</v>
      </c>
      <c r="M58" s="1">
        <v>1.54</v>
      </c>
      <c r="N58" s="1">
        <v>0.01</v>
      </c>
      <c r="O58" s="15">
        <v>7.0000000000000001E-3</v>
      </c>
      <c r="P58" s="1">
        <v>0.28999999999999998</v>
      </c>
      <c r="Q58" s="1">
        <v>1.57</v>
      </c>
      <c r="R58" s="1">
        <v>0.38</v>
      </c>
      <c r="S58" s="1">
        <v>6.0000000000000001E-3</v>
      </c>
      <c r="T58" s="1">
        <v>7.0000000000000001E-3</v>
      </c>
      <c r="U58" s="1">
        <v>4.0000000000000001E-3</v>
      </c>
      <c r="V58" s="1">
        <v>4.0000000000000001E-3</v>
      </c>
      <c r="W58" s="1">
        <v>0.03</v>
      </c>
      <c r="X58" s="1">
        <v>7.0000000000000001E-3</v>
      </c>
      <c r="Y58" s="1">
        <v>2E-3</v>
      </c>
      <c r="Z58" s="1">
        <v>3.0000000000000001E-3</v>
      </c>
      <c r="AA58" s="1" t="s">
        <v>49</v>
      </c>
      <c r="AB58" s="1">
        <v>2E-3</v>
      </c>
      <c r="AC58" s="1"/>
      <c r="AD58" s="1" t="s">
        <v>50</v>
      </c>
      <c r="AE58" s="1">
        <v>8.9999999999999998E-4</v>
      </c>
      <c r="AF58" s="1">
        <v>3.0000000000000001E-3</v>
      </c>
      <c r="AG58" s="1">
        <v>2.0000000000000001E-4</v>
      </c>
      <c r="AH58" s="1">
        <v>5.0000000000000001E-4</v>
      </c>
      <c r="AI58" s="1">
        <v>2.8000000000000001E-2</v>
      </c>
      <c r="AJ58" s="53">
        <v>5.0000000000000001E-3</v>
      </c>
      <c r="AK58" s="21"/>
      <c r="AL58" s="74">
        <f t="shared" si="0"/>
        <v>0.59813333333333341</v>
      </c>
      <c r="AM58" s="13">
        <f t="shared" si="1"/>
        <v>0.26740000000000003</v>
      </c>
      <c r="AN58" s="81">
        <f t="shared" si="2"/>
        <v>0.42440598599009904</v>
      </c>
      <c r="AO58" s="85">
        <f t="shared" si="3"/>
        <v>0.34725</v>
      </c>
    </row>
    <row r="59" spans="2:41" x14ac:dyDescent="0.25">
      <c r="B59" s="41">
        <v>5</v>
      </c>
      <c r="C59" s="116" t="s">
        <v>54</v>
      </c>
      <c r="D59" s="10"/>
      <c r="E59" s="10" t="s">
        <v>42</v>
      </c>
      <c r="F59" s="10" t="s">
        <v>57</v>
      </c>
      <c r="G59" s="10" t="s">
        <v>43</v>
      </c>
      <c r="H59" s="10"/>
      <c r="I59" s="77" t="s">
        <v>55</v>
      </c>
      <c r="J59" s="46"/>
      <c r="K59" s="1">
        <v>9.2999999999999999E-2</v>
      </c>
      <c r="L59" s="1">
        <v>0.68</v>
      </c>
      <c r="M59" s="1">
        <v>1.57</v>
      </c>
      <c r="N59" s="1">
        <v>4.0000000000000001E-3</v>
      </c>
      <c r="O59" s="15">
        <v>3.0000000000000001E-3</v>
      </c>
      <c r="P59" s="1">
        <v>0.38</v>
      </c>
      <c r="Q59" s="1">
        <v>2</v>
      </c>
      <c r="R59" s="1">
        <v>0.55000000000000004</v>
      </c>
      <c r="S59" s="1">
        <v>7.0000000000000001E-3</v>
      </c>
      <c r="T59" s="1">
        <v>8.9999999999999993E-3</v>
      </c>
      <c r="U59" s="1">
        <v>0.01</v>
      </c>
      <c r="V59" s="1">
        <v>6.0000000000000001E-3</v>
      </c>
      <c r="W59" s="1">
        <v>0.03</v>
      </c>
      <c r="X59" s="1">
        <v>1.0999999999999999E-2</v>
      </c>
      <c r="Y59" s="1">
        <v>4.0000000000000001E-3</v>
      </c>
      <c r="Z59" s="1">
        <v>2.4E-2</v>
      </c>
      <c r="AA59" s="1" t="s">
        <v>49</v>
      </c>
      <c r="AB59" s="1">
        <v>3.0000000000000001E-3</v>
      </c>
      <c r="AC59" s="1"/>
      <c r="AD59" s="1" t="s">
        <v>50</v>
      </c>
      <c r="AE59" s="1">
        <v>6.9999999999999999E-4</v>
      </c>
      <c r="AF59" s="1">
        <v>4.0000000000000001E-3</v>
      </c>
      <c r="AG59" s="1">
        <v>1E-4</v>
      </c>
      <c r="AH59" s="1">
        <v>5.0000000000000001E-4</v>
      </c>
      <c r="AI59" s="1">
        <v>2.3E-2</v>
      </c>
      <c r="AJ59" s="53">
        <v>8.0000000000000002E-3</v>
      </c>
      <c r="AK59" s="21"/>
      <c r="AL59" s="74">
        <f t="shared" si="0"/>
        <v>0.67799999999999994</v>
      </c>
      <c r="AM59" s="13">
        <f t="shared" si="1"/>
        <v>0.28916666666666663</v>
      </c>
      <c r="AN59" s="81">
        <f t="shared" si="2"/>
        <v>0.45726884844207549</v>
      </c>
      <c r="AO59" s="85">
        <f t="shared" si="3"/>
        <v>0.3755</v>
      </c>
    </row>
    <row r="60" spans="2:41" x14ac:dyDescent="0.25">
      <c r="B60" s="54">
        <v>6</v>
      </c>
      <c r="C60" s="116" t="s">
        <v>54</v>
      </c>
      <c r="D60" s="10"/>
      <c r="E60" s="10" t="s">
        <v>42</v>
      </c>
      <c r="F60" s="10" t="s">
        <v>57</v>
      </c>
      <c r="G60" s="10" t="s">
        <v>43</v>
      </c>
      <c r="H60" s="10"/>
      <c r="I60" s="77" t="s">
        <v>56</v>
      </c>
      <c r="J60" s="46"/>
      <c r="K60" s="186">
        <v>9.5000000000000001E-2</v>
      </c>
      <c r="L60" s="187">
        <v>0.67</v>
      </c>
      <c r="M60" s="187">
        <v>1.59</v>
      </c>
      <c r="N60">
        <v>4.0000000000000001E-3</v>
      </c>
      <c r="O60">
        <v>4.0000000000000001E-3</v>
      </c>
      <c r="P60">
        <v>0.38</v>
      </c>
      <c r="Q60">
        <v>1.94</v>
      </c>
      <c r="R60">
        <v>0.56000000000000005</v>
      </c>
      <c r="S60">
        <v>6.0000000000000001E-3</v>
      </c>
      <c r="T60">
        <v>8.9999999999999993E-3</v>
      </c>
      <c r="U60">
        <v>1.0999999999999999E-2</v>
      </c>
      <c r="V60">
        <v>6.0000000000000001E-3</v>
      </c>
      <c r="W60">
        <v>2.9000000000000001E-2</v>
      </c>
      <c r="X60">
        <v>1.2E-2</v>
      </c>
      <c r="Y60">
        <v>3.0000000000000001E-3</v>
      </c>
      <c r="Z60">
        <v>2.3E-2</v>
      </c>
      <c r="AA60" t="s">
        <v>46</v>
      </c>
      <c r="AB60">
        <v>2E-3</v>
      </c>
      <c r="AC60">
        <v>2E-3</v>
      </c>
      <c r="AD60" t="s">
        <v>47</v>
      </c>
      <c r="AE60">
        <v>6.9999999999999999E-4</v>
      </c>
      <c r="AF60">
        <v>4.0000000000000001E-3</v>
      </c>
      <c r="AG60">
        <v>1E-4</v>
      </c>
      <c r="AH60">
        <v>5.0000000000000001E-4</v>
      </c>
      <c r="AI60">
        <v>2.4E-2</v>
      </c>
      <c r="AJ60" s="46">
        <v>6.0000000000000001E-3</v>
      </c>
      <c r="AK60" s="21"/>
      <c r="AL60" s="74">
        <f t="shared" ref="AL60" si="5">K60+M60/6+W60/15+Q60/15+P60/5+R60/5+U60/5</f>
        <v>0.68146666666666655</v>
      </c>
      <c r="AM60" s="13">
        <f t="shared" ref="AM60" si="6">K60+L60/30+M60/20+W60/20+Q60/60+P60/20+R60/15+U60/10+5*AE60</f>
        <v>0.29154999999999998</v>
      </c>
      <c r="AN60" s="81">
        <f t="shared" ref="AN60" si="7">K60+(0.75+0.25*TANH(20*(K60-0.12)))*(L60/24+M60/6+W60/15+Q60/20+P60/5+R60/5+V60/5+U60/5)</f>
        <v>0.46505504200702485</v>
      </c>
      <c r="AO60" s="85">
        <f t="shared" ref="AO60" si="8">K60+M60/10+R60/10+P60/20+W60/20+Q60/40</f>
        <v>0.37895000000000001</v>
      </c>
    </row>
    <row r="61" spans="2:41" x14ac:dyDescent="0.25">
      <c r="B61" s="55">
        <v>7</v>
      </c>
      <c r="C61" s="116" t="s">
        <v>54</v>
      </c>
      <c r="D61" s="10"/>
      <c r="E61" s="10" t="s">
        <v>42</v>
      </c>
      <c r="F61" s="10" t="s">
        <v>53</v>
      </c>
      <c r="G61" s="10" t="s">
        <v>43</v>
      </c>
      <c r="H61" s="10"/>
      <c r="I61" s="77" t="s">
        <v>55</v>
      </c>
      <c r="J61" s="46"/>
      <c r="K61" s="19" t="s">
        <v>78</v>
      </c>
      <c r="L61" s="57"/>
      <c r="M61" s="57"/>
      <c r="N61" s="57"/>
      <c r="AJ61" s="46"/>
      <c r="AK61" s="21"/>
      <c r="AL61" s="74">
        <v>0.75326666666666675</v>
      </c>
      <c r="AM61" s="13">
        <v>0.34758333333333336</v>
      </c>
      <c r="AN61" s="81">
        <v>0.58626250000000002</v>
      </c>
      <c r="AO61" s="85">
        <v>0.41260000000000008</v>
      </c>
    </row>
    <row r="62" spans="2:41" ht="15.75" thickBot="1" x14ac:dyDescent="0.3">
      <c r="B62" s="54">
        <v>8</v>
      </c>
      <c r="C62" s="116" t="s">
        <v>54</v>
      </c>
      <c r="D62" s="10"/>
      <c r="E62" s="10" t="s">
        <v>42</v>
      </c>
      <c r="F62" s="10" t="s">
        <v>53</v>
      </c>
      <c r="G62" s="10" t="s">
        <v>43</v>
      </c>
      <c r="H62" s="10"/>
      <c r="I62" s="77" t="s">
        <v>56</v>
      </c>
      <c r="J62" s="46"/>
      <c r="K62" s="186">
        <v>0.113</v>
      </c>
      <c r="L62" s="187">
        <v>0.53</v>
      </c>
      <c r="M62" s="187">
        <v>1.28</v>
      </c>
      <c r="N62">
        <v>8.9999999999999993E-3</v>
      </c>
      <c r="O62">
        <v>7.0000000000000001E-3</v>
      </c>
      <c r="P62">
        <v>0.51</v>
      </c>
      <c r="Q62">
        <v>2.29</v>
      </c>
      <c r="R62">
        <v>0.7</v>
      </c>
      <c r="S62">
        <v>4.0000000000000001E-3</v>
      </c>
      <c r="T62">
        <v>8.9999999999999993E-3</v>
      </c>
      <c r="U62">
        <v>8.0000000000000002E-3</v>
      </c>
      <c r="V62">
        <v>6.0000000000000001E-3</v>
      </c>
      <c r="W62">
        <v>2.5000000000000001E-2</v>
      </c>
      <c r="X62">
        <v>1.2999999999999999E-2</v>
      </c>
      <c r="Y62">
        <v>3.0000000000000001E-3</v>
      </c>
      <c r="Z62">
        <v>1.2999999999999999E-2</v>
      </c>
      <c r="AA62" t="s">
        <v>46</v>
      </c>
      <c r="AB62">
        <v>2E-3</v>
      </c>
      <c r="AC62">
        <v>2E-3</v>
      </c>
      <c r="AD62" t="s">
        <v>47</v>
      </c>
      <c r="AE62">
        <v>2.9999999999999997E-4</v>
      </c>
      <c r="AF62">
        <v>4.0000000000000001E-3</v>
      </c>
      <c r="AG62">
        <v>6.9999999999999999E-4</v>
      </c>
      <c r="AH62">
        <v>1E-3</v>
      </c>
      <c r="AI62">
        <v>0.02</v>
      </c>
      <c r="AJ62" s="46">
        <v>4.0000000000000001E-3</v>
      </c>
      <c r="AK62" s="21"/>
      <c r="AL62" s="74">
        <v>0.73133333333333339</v>
      </c>
      <c r="AM62" s="13">
        <v>0.34128333333333333</v>
      </c>
      <c r="AN62" s="81">
        <v>0.57043750000000004</v>
      </c>
      <c r="AO62" s="85">
        <v>0.40460000000000007</v>
      </c>
    </row>
    <row r="63" spans="2:41" ht="6.75" customHeight="1" thickBot="1" x14ac:dyDescent="0.3">
      <c r="B63" s="41"/>
      <c r="C63" s="116"/>
      <c r="D63" s="10"/>
      <c r="E63" s="115"/>
      <c r="F63" s="10"/>
      <c r="G63" s="10"/>
      <c r="H63" s="10"/>
      <c r="I63" s="77"/>
      <c r="J63" s="199"/>
      <c r="K63" s="15"/>
      <c r="L63" s="12"/>
      <c r="M63" s="12"/>
      <c r="N63" s="1"/>
      <c r="O63" s="1"/>
      <c r="P63" s="1"/>
      <c r="Q63" s="45"/>
      <c r="R63" s="1"/>
      <c r="S63" s="1"/>
      <c r="T63" s="1"/>
      <c r="U63" s="1"/>
      <c r="V63" s="1"/>
      <c r="W63" s="1"/>
      <c r="X63" s="1"/>
      <c r="Y63" s="15"/>
      <c r="Z63" s="15"/>
      <c r="AA63" s="1"/>
      <c r="AB63" s="1"/>
      <c r="AC63" s="1"/>
      <c r="AD63" s="1"/>
      <c r="AE63" s="1"/>
      <c r="AF63" s="43"/>
      <c r="AG63" s="1"/>
      <c r="AH63" s="1"/>
      <c r="AI63" s="15"/>
      <c r="AJ63" s="44"/>
      <c r="AK63" s="21"/>
      <c r="AL63" s="74"/>
      <c r="AM63" s="13"/>
      <c r="AN63" s="81"/>
      <c r="AO63" s="85"/>
    </row>
    <row r="64" spans="2:41" hidden="1" x14ac:dyDescent="0.25">
      <c r="B64" s="41">
        <v>9</v>
      </c>
      <c r="C64" s="116" t="s">
        <v>76</v>
      </c>
      <c r="D64" s="10"/>
      <c r="E64" s="10" t="s">
        <v>41</v>
      </c>
      <c r="F64" s="10" t="s">
        <v>51</v>
      </c>
      <c r="G64" s="10" t="s">
        <v>152</v>
      </c>
      <c r="H64" s="10"/>
      <c r="I64" s="77"/>
      <c r="J64" s="46"/>
      <c r="AJ64" s="46"/>
      <c r="AK64" s="21"/>
      <c r="AL64" s="74">
        <f t="shared" si="0"/>
        <v>0</v>
      </c>
      <c r="AM64" s="13">
        <f t="shared" si="1"/>
        <v>0</v>
      </c>
      <c r="AN64" s="81">
        <f t="shared" si="2"/>
        <v>0</v>
      </c>
      <c r="AO64" s="85">
        <f t="shared" si="3"/>
        <v>0</v>
      </c>
    </row>
    <row r="65" spans="2:41" hidden="1" x14ac:dyDescent="0.25">
      <c r="B65" s="41">
        <v>10</v>
      </c>
      <c r="C65" s="116" t="s">
        <v>76</v>
      </c>
      <c r="D65" s="10"/>
      <c r="E65" s="10" t="s">
        <v>41</v>
      </c>
      <c r="F65" s="10" t="s">
        <v>51</v>
      </c>
      <c r="G65" s="10" t="s">
        <v>152</v>
      </c>
      <c r="H65" s="10"/>
      <c r="I65" s="77"/>
      <c r="J65" s="46"/>
      <c r="AJ65" s="46"/>
      <c r="AK65" s="21"/>
      <c r="AL65" s="74">
        <f t="shared" si="0"/>
        <v>0</v>
      </c>
      <c r="AM65" s="13">
        <f t="shared" si="1"/>
        <v>0</v>
      </c>
      <c r="AN65" s="81">
        <f t="shared" si="2"/>
        <v>0</v>
      </c>
      <c r="AO65" s="85">
        <f t="shared" si="3"/>
        <v>0</v>
      </c>
    </row>
    <row r="66" spans="2:41" x14ac:dyDescent="0.25">
      <c r="B66" s="41">
        <v>11</v>
      </c>
      <c r="C66" s="116" t="s">
        <v>76</v>
      </c>
      <c r="D66" s="10"/>
      <c r="E66" s="10" t="s">
        <v>41</v>
      </c>
      <c r="F66" s="10" t="s">
        <v>52</v>
      </c>
      <c r="G66" s="10" t="s">
        <v>152</v>
      </c>
      <c r="H66" s="10"/>
      <c r="I66" s="77"/>
      <c r="J66" s="46"/>
      <c r="AJ66" s="46"/>
      <c r="AK66" s="21"/>
      <c r="AL66" s="74">
        <v>0.55899999999999994</v>
      </c>
      <c r="AM66" s="13">
        <v>0.28935000000000005</v>
      </c>
      <c r="AN66" s="81">
        <v>0.45287499999999997</v>
      </c>
      <c r="AO66" s="85">
        <v>0.33980000000000005</v>
      </c>
    </row>
    <row r="67" spans="2:41" hidden="1" x14ac:dyDescent="0.25">
      <c r="B67" s="41">
        <v>12</v>
      </c>
      <c r="C67" s="116" t="s">
        <v>76</v>
      </c>
      <c r="D67" s="10"/>
      <c r="E67" s="10" t="s">
        <v>41</v>
      </c>
      <c r="F67" s="10" t="s">
        <v>52</v>
      </c>
      <c r="G67" s="10" t="s">
        <v>152</v>
      </c>
      <c r="H67" s="10"/>
      <c r="I67" s="77"/>
      <c r="J67" s="46"/>
      <c r="AJ67" s="46"/>
      <c r="AK67" s="21"/>
      <c r="AL67" s="74">
        <f t="shared" si="0"/>
        <v>0</v>
      </c>
      <c r="AM67" s="13">
        <f t="shared" si="1"/>
        <v>0</v>
      </c>
      <c r="AN67" s="81">
        <f t="shared" si="2"/>
        <v>0</v>
      </c>
      <c r="AO67" s="85">
        <f t="shared" si="3"/>
        <v>0</v>
      </c>
    </row>
    <row r="68" spans="2:41" hidden="1" x14ac:dyDescent="0.25">
      <c r="B68" s="41">
        <v>13</v>
      </c>
      <c r="C68" s="116" t="s">
        <v>76</v>
      </c>
      <c r="D68" s="10"/>
      <c r="E68" s="10" t="s">
        <v>42</v>
      </c>
      <c r="F68" s="10" t="s">
        <v>53</v>
      </c>
      <c r="G68" s="10" t="s">
        <v>152</v>
      </c>
      <c r="H68" s="10"/>
      <c r="I68" s="77"/>
      <c r="J68" s="46"/>
      <c r="AJ68" s="46"/>
      <c r="AK68" s="21"/>
      <c r="AL68" s="74">
        <f t="shared" si="0"/>
        <v>0</v>
      </c>
      <c r="AM68" s="13">
        <f t="shared" si="1"/>
        <v>0</v>
      </c>
      <c r="AN68" s="81">
        <f t="shared" si="2"/>
        <v>0</v>
      </c>
      <c r="AO68" s="85">
        <f t="shared" si="3"/>
        <v>0</v>
      </c>
    </row>
    <row r="69" spans="2:41" hidden="1" x14ac:dyDescent="0.25">
      <c r="B69" s="41">
        <v>14</v>
      </c>
      <c r="C69" s="116" t="s">
        <v>76</v>
      </c>
      <c r="D69" s="10"/>
      <c r="E69" s="10" t="s">
        <v>42</v>
      </c>
      <c r="F69" s="10" t="s">
        <v>53</v>
      </c>
      <c r="G69" s="10" t="s">
        <v>152</v>
      </c>
      <c r="H69" s="10"/>
      <c r="I69" s="77"/>
      <c r="J69" s="46"/>
      <c r="AJ69" s="46"/>
      <c r="AK69" s="21"/>
      <c r="AL69" s="74">
        <f t="shared" si="0"/>
        <v>0</v>
      </c>
      <c r="AM69" s="13">
        <f t="shared" si="1"/>
        <v>0</v>
      </c>
      <c r="AN69" s="81">
        <f t="shared" si="2"/>
        <v>0</v>
      </c>
      <c r="AO69" s="85">
        <f t="shared" si="3"/>
        <v>0</v>
      </c>
    </row>
    <row r="70" spans="2:41" x14ac:dyDescent="0.25">
      <c r="B70" s="41">
        <v>15</v>
      </c>
      <c r="C70" s="116" t="s">
        <v>76</v>
      </c>
      <c r="D70" s="10"/>
      <c r="E70" s="10" t="s">
        <v>42</v>
      </c>
      <c r="F70" s="10" t="s">
        <v>57</v>
      </c>
      <c r="G70" s="10" t="s">
        <v>152</v>
      </c>
      <c r="H70" s="10"/>
      <c r="I70" s="77"/>
      <c r="J70" s="46"/>
      <c r="AJ70" s="46"/>
      <c r="AK70" s="21"/>
      <c r="AL70" s="74">
        <v>0.66113333333333335</v>
      </c>
      <c r="AM70" s="13">
        <v>0.33128333333333343</v>
      </c>
      <c r="AN70" s="81">
        <v>0.55730256675372325</v>
      </c>
      <c r="AO70" s="85">
        <v>0.39290000000000003</v>
      </c>
    </row>
    <row r="71" spans="2:41" hidden="1" x14ac:dyDescent="0.25">
      <c r="B71" s="41">
        <v>16</v>
      </c>
      <c r="C71" s="116" t="s">
        <v>76</v>
      </c>
      <c r="D71" s="10"/>
      <c r="E71" s="10" t="s">
        <v>42</v>
      </c>
      <c r="F71" s="10" t="s">
        <v>57</v>
      </c>
      <c r="G71" s="10" t="s">
        <v>152</v>
      </c>
      <c r="H71" s="10"/>
      <c r="I71" s="77"/>
      <c r="J71" s="46"/>
      <c r="AJ71" s="46"/>
      <c r="AK71" s="21"/>
      <c r="AL71" s="74">
        <f t="shared" ref="AL71:AL92" si="9">K71+M71/6+W71/15+Q71/15+P71/5+R71/5+U71/5</f>
        <v>0</v>
      </c>
      <c r="AM71" s="13">
        <f t="shared" ref="AM71:AM92" si="10">K71+L71/30+M71/20+W71/20+Q71/60+P71/20+R71/15+U71/10+5*AE71</f>
        <v>0</v>
      </c>
      <c r="AN71" s="81">
        <f t="shared" ref="AN71:AN92" si="11">K71+(0.75+0.25*TANH(20*(K71-0.12)))*(L71/24+M71/6+W71/15+Q71/20+P71/5+R71/5+V71/5+U71/5)</f>
        <v>0</v>
      </c>
      <c r="AO71" s="85">
        <f t="shared" ref="AO71:AO92" si="12">K71+M71/10+R71/10+P71/20+W71/20+Q71/40</f>
        <v>0</v>
      </c>
    </row>
    <row r="72" spans="2:41" ht="6.75" customHeight="1" x14ac:dyDescent="0.25">
      <c r="B72" s="41"/>
      <c r="C72" s="116"/>
      <c r="D72" s="10"/>
      <c r="E72" s="115"/>
      <c r="F72" s="10"/>
      <c r="G72" s="10"/>
      <c r="H72" s="10"/>
      <c r="I72" s="77"/>
      <c r="J72" s="46"/>
      <c r="K72" s="15"/>
      <c r="L72" s="12"/>
      <c r="M72" s="12"/>
      <c r="N72" s="1"/>
      <c r="O72" s="1"/>
      <c r="P72" s="1"/>
      <c r="Q72" s="45"/>
      <c r="R72" s="1"/>
      <c r="S72" s="1"/>
      <c r="T72" s="1"/>
      <c r="U72" s="1"/>
      <c r="V72" s="1"/>
      <c r="W72" s="1"/>
      <c r="X72" s="1"/>
      <c r="Y72" s="15"/>
      <c r="Z72" s="15"/>
      <c r="AA72" s="1"/>
      <c r="AB72" s="1"/>
      <c r="AC72" s="1"/>
      <c r="AD72" s="1"/>
      <c r="AE72" s="1"/>
      <c r="AF72" s="43"/>
      <c r="AG72" s="1"/>
      <c r="AH72" s="1"/>
      <c r="AI72" s="15"/>
      <c r="AJ72" s="44"/>
      <c r="AK72" s="21"/>
      <c r="AL72" s="74"/>
      <c r="AM72" s="13"/>
      <c r="AN72" s="81"/>
      <c r="AO72" s="85"/>
    </row>
    <row r="73" spans="2:41" s="34" customFormat="1" ht="15" customHeight="1" x14ac:dyDescent="0.25">
      <c r="B73" s="58" t="s">
        <v>72</v>
      </c>
      <c r="C73" s="116" t="s">
        <v>59</v>
      </c>
      <c r="D73" s="30" t="s">
        <v>61</v>
      </c>
      <c r="E73" s="30" t="s">
        <v>41</v>
      </c>
      <c r="F73" s="30" t="s">
        <v>52</v>
      </c>
      <c r="G73" s="10" t="s">
        <v>153</v>
      </c>
      <c r="H73" s="10">
        <v>1</v>
      </c>
      <c r="I73" s="169"/>
      <c r="J73" s="200"/>
      <c r="K73" s="30">
        <v>0.12</v>
      </c>
      <c r="L73" s="30">
        <v>0.37</v>
      </c>
      <c r="M73" s="30">
        <v>1.26</v>
      </c>
      <c r="N73" s="30">
        <v>0.01</v>
      </c>
      <c r="O73" s="30">
        <v>2E-3</v>
      </c>
      <c r="P73" s="30">
        <v>0.3</v>
      </c>
      <c r="Q73" s="30">
        <v>0.54</v>
      </c>
      <c r="R73" s="30">
        <v>0.24</v>
      </c>
      <c r="S73" s="30" t="s">
        <v>50</v>
      </c>
      <c r="T73" s="30">
        <v>1.2999999999999999E-2</v>
      </c>
      <c r="U73" s="30">
        <v>0.01</v>
      </c>
      <c r="V73" s="30">
        <v>2E-3</v>
      </c>
      <c r="W73" s="30">
        <v>0.02</v>
      </c>
      <c r="X73" s="30">
        <v>3.1E-2</v>
      </c>
      <c r="Y73" s="30">
        <v>1E-3</v>
      </c>
      <c r="Z73" s="30">
        <v>7.0000000000000001E-3</v>
      </c>
      <c r="AA73" s="30" t="s">
        <v>49</v>
      </c>
      <c r="AB73" s="30">
        <v>1E-3</v>
      </c>
      <c r="AC73" s="30"/>
      <c r="AD73" s="30" t="s">
        <v>50</v>
      </c>
      <c r="AE73" s="30">
        <v>1E-3</v>
      </c>
      <c r="AF73" s="30" t="s">
        <v>50</v>
      </c>
      <c r="AG73" s="30">
        <v>4.0000000000000002E-4</v>
      </c>
      <c r="AH73" s="30" t="s">
        <v>62</v>
      </c>
      <c r="AI73" s="30">
        <v>1.2E-2</v>
      </c>
      <c r="AJ73" s="30">
        <v>8.0000000000000002E-3</v>
      </c>
      <c r="AK73" s="69" t="s">
        <v>82</v>
      </c>
      <c r="AL73" s="195">
        <f t="shared" si="9"/>
        <v>0.47733333333333328</v>
      </c>
      <c r="AM73" s="196">
        <f t="shared" si="10"/>
        <v>0.24233333333333335</v>
      </c>
      <c r="AN73" s="197">
        <f t="shared" si="11"/>
        <v>0.39311249999999998</v>
      </c>
      <c r="AO73" s="194">
        <f t="shared" si="12"/>
        <v>0.29950000000000004</v>
      </c>
    </row>
    <row r="74" spans="2:41" s="34" customFormat="1" ht="15" customHeight="1" x14ac:dyDescent="0.25">
      <c r="B74" s="58" t="s">
        <v>73</v>
      </c>
      <c r="C74" s="116" t="s">
        <v>59</v>
      </c>
      <c r="D74" s="30" t="s">
        <v>60</v>
      </c>
      <c r="E74" s="30" t="s">
        <v>42</v>
      </c>
      <c r="F74" s="30" t="s">
        <v>57</v>
      </c>
      <c r="G74" s="10" t="s">
        <v>153</v>
      </c>
      <c r="H74" s="10">
        <v>1</v>
      </c>
      <c r="I74" s="169"/>
      <c r="J74" s="200"/>
      <c r="K74" s="30">
        <v>0.15</v>
      </c>
      <c r="L74" s="30">
        <v>0.37</v>
      </c>
      <c r="M74" s="30">
        <v>1.33</v>
      </c>
      <c r="N74" s="30">
        <v>6.0000000000000001E-3</v>
      </c>
      <c r="O74" s="30">
        <v>2E-3</v>
      </c>
      <c r="P74" s="30">
        <v>0.26</v>
      </c>
      <c r="Q74" s="30">
        <v>0.68</v>
      </c>
      <c r="R74" s="30">
        <v>0.61</v>
      </c>
      <c r="S74" s="30" t="s">
        <v>50</v>
      </c>
      <c r="T74" s="30">
        <v>1.2999999999999999E-2</v>
      </c>
      <c r="U74" s="30">
        <v>0.03</v>
      </c>
      <c r="V74" s="30">
        <v>1.0999999999999999E-2</v>
      </c>
      <c r="W74" s="30">
        <v>0.02</v>
      </c>
      <c r="X74" s="30">
        <v>3.5999999999999997E-2</v>
      </c>
      <c r="Y74" s="30">
        <v>1E-3</v>
      </c>
      <c r="Z74" s="30">
        <v>1.4E-2</v>
      </c>
      <c r="AA74" s="30" t="s">
        <v>49</v>
      </c>
      <c r="AB74" s="30">
        <v>1E-3</v>
      </c>
      <c r="AC74" s="30"/>
      <c r="AD74" s="30" t="s">
        <v>50</v>
      </c>
      <c r="AE74" s="30">
        <v>1E-3</v>
      </c>
      <c r="AF74" s="30" t="s">
        <v>50</v>
      </c>
      <c r="AG74" s="30">
        <v>5.0000000000000001E-4</v>
      </c>
      <c r="AH74" s="30" t="s">
        <v>62</v>
      </c>
      <c r="AI74" s="30">
        <v>1.0999999999999999E-2</v>
      </c>
      <c r="AJ74" s="30">
        <v>8.9999999999999993E-3</v>
      </c>
      <c r="AK74" s="69" t="s">
        <v>79</v>
      </c>
      <c r="AL74" s="75">
        <f t="shared" si="9"/>
        <v>0.59833333333333338</v>
      </c>
      <c r="AM74" s="33">
        <f t="shared" si="10"/>
        <v>0.30283333333333334</v>
      </c>
      <c r="AN74" s="82">
        <f t="shared" si="11"/>
        <v>0.55200042099585578</v>
      </c>
      <c r="AO74" s="85">
        <f t="shared" si="12"/>
        <v>0.37500000000000006</v>
      </c>
    </row>
    <row r="75" spans="2:41" ht="6.75" hidden="1" customHeight="1" x14ac:dyDescent="0.25">
      <c r="B75" s="41"/>
      <c r="C75" s="116"/>
      <c r="D75" s="10"/>
      <c r="E75" s="115"/>
      <c r="F75" s="10"/>
      <c r="G75" s="10"/>
      <c r="H75" s="10"/>
      <c r="I75" s="77"/>
      <c r="J75" s="46"/>
      <c r="K75" s="15"/>
      <c r="L75" s="12"/>
      <c r="M75" s="12"/>
      <c r="N75" s="1"/>
      <c r="O75" s="1"/>
      <c r="P75" s="1"/>
      <c r="Q75" s="45"/>
      <c r="R75" s="1"/>
      <c r="S75" s="1"/>
      <c r="T75" s="1"/>
      <c r="U75" s="1"/>
      <c r="V75" s="1"/>
      <c r="W75" s="1"/>
      <c r="X75" s="1"/>
      <c r="Y75" s="15"/>
      <c r="Z75" s="15"/>
      <c r="AA75" s="1"/>
      <c r="AB75" s="1"/>
      <c r="AC75" s="1"/>
      <c r="AD75" s="1"/>
      <c r="AE75" s="1"/>
      <c r="AF75" s="43"/>
      <c r="AG75" s="1"/>
      <c r="AH75" s="1"/>
      <c r="AI75" s="15"/>
      <c r="AJ75" s="44"/>
      <c r="AK75" s="21"/>
      <c r="AL75" s="74"/>
      <c r="AM75" s="13"/>
      <c r="AN75" s="81"/>
      <c r="AO75" s="85"/>
    </row>
    <row r="76" spans="2:41" hidden="1" x14ac:dyDescent="0.25">
      <c r="B76" s="41">
        <v>21</v>
      </c>
      <c r="C76" s="116" t="s">
        <v>77</v>
      </c>
      <c r="D76" s="10"/>
      <c r="E76" s="10" t="s">
        <v>41</v>
      </c>
      <c r="F76" s="10" t="s">
        <v>52</v>
      </c>
      <c r="G76" s="162" t="s">
        <v>154</v>
      </c>
      <c r="H76" s="162"/>
      <c r="I76" s="170"/>
      <c r="J76" s="46"/>
      <c r="K76" s="15"/>
      <c r="L76" s="1"/>
      <c r="M76" s="1"/>
      <c r="N76" s="15"/>
      <c r="O76" s="1"/>
      <c r="P76" s="1"/>
      <c r="Q76" s="12"/>
      <c r="R76" s="1"/>
      <c r="S76" s="16"/>
      <c r="T76" s="1"/>
      <c r="U76" s="1"/>
      <c r="V76" s="1"/>
      <c r="W76" s="1"/>
      <c r="X76" s="1"/>
      <c r="Y76" s="1"/>
      <c r="Z76" s="1"/>
      <c r="AA76" s="16"/>
      <c r="AB76" s="1"/>
      <c r="AC76" s="16"/>
      <c r="AD76" s="16"/>
      <c r="AE76" s="1"/>
      <c r="AF76" s="16"/>
      <c r="AG76" s="1"/>
      <c r="AH76" s="16"/>
      <c r="AI76" s="1"/>
      <c r="AJ76" s="53"/>
      <c r="AK76" s="21"/>
      <c r="AL76" s="74">
        <f t="shared" si="9"/>
        <v>0</v>
      </c>
      <c r="AM76" s="13">
        <f t="shared" si="10"/>
        <v>0</v>
      </c>
      <c r="AN76" s="81">
        <f t="shared" si="11"/>
        <v>0</v>
      </c>
      <c r="AO76" s="85">
        <f t="shared" si="12"/>
        <v>0</v>
      </c>
    </row>
    <row r="77" spans="2:41" hidden="1" x14ac:dyDescent="0.25">
      <c r="B77" s="41">
        <v>22</v>
      </c>
      <c r="C77" s="116" t="s">
        <v>77</v>
      </c>
      <c r="D77" s="10"/>
      <c r="E77" s="10" t="s">
        <v>41</v>
      </c>
      <c r="F77" s="10" t="s">
        <v>52</v>
      </c>
      <c r="G77" s="162" t="s">
        <v>154</v>
      </c>
      <c r="H77" s="162"/>
      <c r="I77" s="170"/>
      <c r="J77" s="46"/>
      <c r="K77" s="15"/>
      <c r="L77" s="1"/>
      <c r="M77" s="1"/>
      <c r="N77" s="15"/>
      <c r="O77" s="1"/>
      <c r="P77" s="1"/>
      <c r="Q77" s="12"/>
      <c r="R77" s="1"/>
      <c r="S77" s="16"/>
      <c r="T77" s="1"/>
      <c r="U77" s="1"/>
      <c r="V77" s="1"/>
      <c r="W77" s="1"/>
      <c r="X77" s="1"/>
      <c r="Y77" s="1"/>
      <c r="Z77" s="1"/>
      <c r="AA77" s="16"/>
      <c r="AB77" s="1"/>
      <c r="AC77" s="16"/>
      <c r="AD77" s="16"/>
      <c r="AE77" s="1"/>
      <c r="AF77" s="16"/>
      <c r="AG77" s="1"/>
      <c r="AH77" s="16"/>
      <c r="AI77" s="1"/>
      <c r="AJ77" s="53"/>
      <c r="AK77" s="21"/>
      <c r="AL77" s="74">
        <f t="shared" si="9"/>
        <v>0</v>
      </c>
      <c r="AM77" s="13">
        <f t="shared" si="10"/>
        <v>0</v>
      </c>
      <c r="AN77" s="81">
        <f t="shared" si="11"/>
        <v>0</v>
      </c>
      <c r="AO77" s="85">
        <f t="shared" si="12"/>
        <v>0</v>
      </c>
    </row>
    <row r="78" spans="2:41" hidden="1" x14ac:dyDescent="0.25">
      <c r="B78" s="41">
        <v>23</v>
      </c>
      <c r="C78" s="116" t="s">
        <v>77</v>
      </c>
      <c r="D78" s="10"/>
      <c r="E78" s="10" t="s">
        <v>42</v>
      </c>
      <c r="F78" s="10" t="s">
        <v>57</v>
      </c>
      <c r="G78" s="162" t="s">
        <v>154</v>
      </c>
      <c r="H78" s="162"/>
      <c r="I78" s="170"/>
      <c r="J78" s="46"/>
      <c r="K78" s="15"/>
      <c r="L78" s="1"/>
      <c r="M78" s="1"/>
      <c r="N78" s="15"/>
      <c r="O78" s="1"/>
      <c r="P78" s="1"/>
      <c r="Q78" s="12"/>
      <c r="R78" s="1"/>
      <c r="S78" s="16"/>
      <c r="T78" s="1"/>
      <c r="U78" s="1"/>
      <c r="V78" s="1"/>
      <c r="W78" s="1"/>
      <c r="X78" s="1"/>
      <c r="Y78" s="1"/>
      <c r="Z78" s="1"/>
      <c r="AA78" s="16"/>
      <c r="AB78" s="1"/>
      <c r="AC78" s="16"/>
      <c r="AD78" s="16"/>
      <c r="AE78" s="1"/>
      <c r="AF78" s="16"/>
      <c r="AG78" s="1"/>
      <c r="AH78" s="16"/>
      <c r="AI78" s="1"/>
      <c r="AJ78" s="53"/>
      <c r="AK78" s="21"/>
      <c r="AL78" s="74">
        <f t="shared" si="9"/>
        <v>0</v>
      </c>
      <c r="AM78" s="13">
        <f t="shared" si="10"/>
        <v>0</v>
      </c>
      <c r="AN78" s="81">
        <f t="shared" si="11"/>
        <v>0</v>
      </c>
      <c r="AO78" s="85">
        <f t="shared" si="12"/>
        <v>0</v>
      </c>
    </row>
    <row r="79" spans="2:41" hidden="1" x14ac:dyDescent="0.25">
      <c r="B79" s="41">
        <v>24</v>
      </c>
      <c r="C79" s="116" t="s">
        <v>77</v>
      </c>
      <c r="D79" s="10"/>
      <c r="E79" s="10" t="s">
        <v>42</v>
      </c>
      <c r="F79" s="10" t="s">
        <v>57</v>
      </c>
      <c r="G79" s="162" t="s">
        <v>154</v>
      </c>
      <c r="H79" s="162"/>
      <c r="I79" s="170"/>
      <c r="J79" s="46"/>
      <c r="K79" s="15"/>
      <c r="L79" s="1"/>
      <c r="M79" s="1"/>
      <c r="N79" s="15"/>
      <c r="O79" s="1"/>
      <c r="P79" s="1"/>
      <c r="Q79" s="12"/>
      <c r="R79" s="1"/>
      <c r="S79" s="16"/>
      <c r="T79" s="1"/>
      <c r="U79" s="1"/>
      <c r="V79" s="1"/>
      <c r="W79" s="1"/>
      <c r="X79" s="1"/>
      <c r="Y79" s="1"/>
      <c r="Z79" s="1"/>
      <c r="AA79" s="16"/>
      <c r="AB79" s="1"/>
      <c r="AC79" s="16"/>
      <c r="AD79" s="16"/>
      <c r="AE79" s="1"/>
      <c r="AF79" s="16"/>
      <c r="AG79" s="1"/>
      <c r="AH79" s="16"/>
      <c r="AI79" s="1"/>
      <c r="AJ79" s="53"/>
      <c r="AK79" s="21"/>
      <c r="AL79" s="74">
        <f t="shared" si="9"/>
        <v>0</v>
      </c>
      <c r="AM79" s="13">
        <f t="shared" si="10"/>
        <v>0</v>
      </c>
      <c r="AN79" s="81">
        <f t="shared" si="11"/>
        <v>0</v>
      </c>
      <c r="AO79" s="85">
        <f t="shared" si="12"/>
        <v>0</v>
      </c>
    </row>
    <row r="80" spans="2:41" ht="6.75" hidden="1" customHeight="1" x14ac:dyDescent="0.25">
      <c r="B80" s="41"/>
      <c r="C80" s="116"/>
      <c r="D80" s="10"/>
      <c r="E80" s="115"/>
      <c r="F80" s="10"/>
      <c r="G80" s="10"/>
      <c r="H80" s="10"/>
      <c r="I80" s="77"/>
      <c r="J80" s="46"/>
      <c r="K80" s="15"/>
      <c r="L80" s="12"/>
      <c r="M80" s="12"/>
      <c r="N80" s="1"/>
      <c r="O80" s="1"/>
      <c r="P80" s="1"/>
      <c r="Q80" s="45"/>
      <c r="R80" s="1"/>
      <c r="S80" s="1"/>
      <c r="T80" s="1"/>
      <c r="U80" s="1"/>
      <c r="V80" s="1"/>
      <c r="W80" s="1"/>
      <c r="X80" s="1"/>
      <c r="Y80" s="15"/>
      <c r="Z80" s="15"/>
      <c r="AA80" s="1"/>
      <c r="AB80" s="1"/>
      <c r="AC80" s="1"/>
      <c r="AD80" s="1"/>
      <c r="AE80" s="1"/>
      <c r="AF80" s="43"/>
      <c r="AG80" s="1"/>
      <c r="AH80" s="1"/>
      <c r="AI80" s="15"/>
      <c r="AJ80" s="44"/>
      <c r="AK80" s="21"/>
      <c r="AL80" s="74"/>
      <c r="AM80" s="13"/>
      <c r="AN80" s="81"/>
      <c r="AO80" s="85"/>
    </row>
    <row r="81" spans="2:41" hidden="1" x14ac:dyDescent="0.25">
      <c r="B81" s="41" t="s">
        <v>74</v>
      </c>
      <c r="C81" s="116" t="s">
        <v>63</v>
      </c>
      <c r="D81" s="11">
        <v>4417</v>
      </c>
      <c r="E81" s="115" t="s">
        <v>39</v>
      </c>
      <c r="F81" s="11" t="s">
        <v>67</v>
      </c>
      <c r="G81" s="10" t="s">
        <v>64</v>
      </c>
      <c r="H81" s="115" t="s">
        <v>39</v>
      </c>
      <c r="I81" s="170" t="s">
        <v>65</v>
      </c>
      <c r="J81" s="46"/>
      <c r="K81" s="20">
        <v>8.8999999999999996E-2</v>
      </c>
      <c r="L81" s="10">
        <v>0.38</v>
      </c>
      <c r="M81" s="10">
        <v>1.6</v>
      </c>
      <c r="N81" s="10">
        <v>1.0999999999999999E-2</v>
      </c>
      <c r="O81" s="10">
        <v>5.0000000000000001E-3</v>
      </c>
      <c r="P81" s="10">
        <v>4.2999999999999997E-2</v>
      </c>
      <c r="Q81" s="13">
        <v>2.5</v>
      </c>
      <c r="R81" s="10">
        <v>0.98</v>
      </c>
      <c r="S81" s="10">
        <v>8.0000000000000002E-3</v>
      </c>
      <c r="T81" s="10">
        <v>8.0000000000000002E-3</v>
      </c>
      <c r="U81" s="10">
        <v>3.0000000000000001E-3</v>
      </c>
      <c r="V81" s="10">
        <v>6.0000000000000001E-3</v>
      </c>
      <c r="W81" s="10">
        <v>5.3999999999999999E-2</v>
      </c>
      <c r="X81" s="10">
        <v>0.02</v>
      </c>
      <c r="Y81" s="10">
        <v>4.0000000000000001E-3</v>
      </c>
      <c r="Z81" s="10">
        <v>1.0999999999999999E-2</v>
      </c>
      <c r="AA81" s="10" t="s">
        <v>46</v>
      </c>
      <c r="AB81" s="10">
        <v>4.0000000000000001E-3</v>
      </c>
      <c r="AC81" s="10">
        <v>3.0000000000000001E-3</v>
      </c>
      <c r="AD81" s="10" t="s">
        <v>47</v>
      </c>
      <c r="AE81" s="10">
        <v>2.0000000000000001E-4</v>
      </c>
      <c r="AF81" s="10">
        <v>4.0000000000000001E-3</v>
      </c>
      <c r="AG81" s="10">
        <v>5.0000000000000001E-4</v>
      </c>
      <c r="AH81" s="14">
        <v>1.9E-3</v>
      </c>
      <c r="AI81" s="10">
        <v>1.6E-2</v>
      </c>
      <c r="AJ81" s="77">
        <v>3.0000000000000001E-3</v>
      </c>
      <c r="AK81" s="21" t="s">
        <v>69</v>
      </c>
      <c r="AL81" s="74">
        <f t="shared" si="9"/>
        <v>0.73113333333333352</v>
      </c>
      <c r="AM81" s="13">
        <f t="shared" si="10"/>
        <v>0.29481666666666667</v>
      </c>
      <c r="AN81" s="81">
        <f t="shared" si="11"/>
        <v>0.46704461059442348</v>
      </c>
      <c r="AO81" s="85">
        <f t="shared" si="12"/>
        <v>0.41434999999999994</v>
      </c>
    </row>
    <row r="82" spans="2:41" hidden="1" x14ac:dyDescent="0.25">
      <c r="B82" s="41" t="s">
        <v>74</v>
      </c>
      <c r="C82" s="116" t="s">
        <v>63</v>
      </c>
      <c r="D82" s="11">
        <v>4418</v>
      </c>
      <c r="E82" s="115" t="s">
        <v>39</v>
      </c>
      <c r="F82" s="11" t="s">
        <v>68</v>
      </c>
      <c r="G82" s="10" t="s">
        <v>64</v>
      </c>
      <c r="H82" s="115" t="s">
        <v>39</v>
      </c>
      <c r="I82" s="170" t="s">
        <v>65</v>
      </c>
      <c r="J82" s="46"/>
      <c r="K82" s="20">
        <v>0.11</v>
      </c>
      <c r="L82" s="10">
        <v>0.39</v>
      </c>
      <c r="M82" s="10">
        <v>1.7</v>
      </c>
      <c r="N82" s="10">
        <v>1.0999999999999999E-2</v>
      </c>
      <c r="O82" s="10">
        <v>5.0000000000000001E-3</v>
      </c>
      <c r="P82" s="10">
        <v>3.9E-2</v>
      </c>
      <c r="Q82" s="10">
        <v>2.59</v>
      </c>
      <c r="R82" s="10">
        <v>1.05</v>
      </c>
      <c r="S82" s="10">
        <v>8.0000000000000002E-3</v>
      </c>
      <c r="T82" s="10">
        <v>8.0000000000000002E-3</v>
      </c>
      <c r="U82" s="10">
        <v>3.0000000000000001E-3</v>
      </c>
      <c r="V82" s="10">
        <v>7.0000000000000001E-3</v>
      </c>
      <c r="W82" s="10">
        <v>3.5999999999999997E-2</v>
      </c>
      <c r="X82" s="10">
        <v>2.1000000000000001E-2</v>
      </c>
      <c r="Y82" s="10">
        <v>4.0000000000000001E-3</v>
      </c>
      <c r="Z82" s="10">
        <v>0.01</v>
      </c>
      <c r="AA82" s="10" t="s">
        <v>46</v>
      </c>
      <c r="AB82" s="10">
        <v>3.0000000000000001E-3</v>
      </c>
      <c r="AC82" s="10">
        <v>2E-3</v>
      </c>
      <c r="AD82" s="10" t="s">
        <v>47</v>
      </c>
      <c r="AE82" s="10">
        <v>2.0000000000000001E-4</v>
      </c>
      <c r="AF82" s="10">
        <v>5.0000000000000001E-3</v>
      </c>
      <c r="AG82" s="10">
        <v>8.0000000000000004E-4</v>
      </c>
      <c r="AH82" s="10">
        <v>2E-3</v>
      </c>
      <c r="AI82" s="10">
        <v>1.6E-2</v>
      </c>
      <c r="AJ82" s="77">
        <v>3.0000000000000001E-3</v>
      </c>
      <c r="AK82" s="21" t="s">
        <v>69</v>
      </c>
      <c r="AL82" s="74">
        <f t="shared" si="9"/>
        <v>0.78680000000000005</v>
      </c>
      <c r="AM82" s="13">
        <f t="shared" si="10"/>
        <v>0.32621666666666671</v>
      </c>
      <c r="AN82" s="81">
        <f t="shared" si="11"/>
        <v>0.56632568588154764</v>
      </c>
      <c r="AO82" s="85">
        <f t="shared" si="12"/>
        <v>0.45350000000000001</v>
      </c>
    </row>
    <row r="83" spans="2:41" ht="6.75" customHeight="1" x14ac:dyDescent="0.25">
      <c r="B83" s="41"/>
      <c r="C83" s="116"/>
      <c r="D83" s="10"/>
      <c r="E83" s="10"/>
      <c r="F83" s="10"/>
      <c r="G83" s="10"/>
      <c r="H83" s="10"/>
      <c r="I83" s="77"/>
      <c r="J83" s="46"/>
      <c r="K83" s="59"/>
      <c r="AJ83" s="46"/>
      <c r="AK83" s="21"/>
      <c r="AL83" s="74"/>
      <c r="AM83" s="13"/>
      <c r="AN83" s="81"/>
      <c r="AO83" s="85"/>
    </row>
    <row r="84" spans="2:41" x14ac:dyDescent="0.25">
      <c r="B84" s="41"/>
      <c r="C84" s="116" t="s">
        <v>63</v>
      </c>
      <c r="D84" s="11">
        <v>5209</v>
      </c>
      <c r="E84" s="10" t="s">
        <v>41</v>
      </c>
      <c r="F84" s="11" t="s">
        <v>67</v>
      </c>
      <c r="G84" s="10" t="s">
        <v>43</v>
      </c>
      <c r="H84" s="162" t="s">
        <v>156</v>
      </c>
      <c r="I84" s="77">
        <v>10</v>
      </c>
      <c r="J84" s="46"/>
      <c r="K84" s="20">
        <v>0.1</v>
      </c>
      <c r="L84" s="10">
        <v>0.34</v>
      </c>
      <c r="M84" s="10">
        <v>1.42</v>
      </c>
      <c r="N84" s="14">
        <v>0.01</v>
      </c>
      <c r="O84" s="10">
        <v>6.0000000000000001E-3</v>
      </c>
      <c r="P84" s="10">
        <v>0.105</v>
      </c>
      <c r="Q84" s="10">
        <v>1.82</v>
      </c>
      <c r="R84" s="10">
        <v>0.79</v>
      </c>
      <c r="S84" s="10">
        <v>5.0000000000000001E-3</v>
      </c>
      <c r="T84" s="10">
        <v>8.0000000000000002E-3</v>
      </c>
      <c r="U84" s="10">
        <v>4.0000000000000001E-3</v>
      </c>
      <c r="V84" s="10">
        <v>4.0000000000000001E-3</v>
      </c>
      <c r="W84" s="10">
        <v>1.7999999999999999E-2</v>
      </c>
      <c r="X84" s="10">
        <v>2.5000000000000001E-2</v>
      </c>
      <c r="Y84" s="10">
        <v>4.0000000000000001E-3</v>
      </c>
      <c r="Z84" s="14">
        <v>0.01</v>
      </c>
      <c r="AA84" s="10" t="s">
        <v>46</v>
      </c>
      <c r="AB84" s="10">
        <v>2E-3</v>
      </c>
      <c r="AC84" s="10">
        <v>1E-3</v>
      </c>
      <c r="AD84" s="10" t="s">
        <v>47</v>
      </c>
      <c r="AE84" s="10">
        <v>4.0000000000000002E-4</v>
      </c>
      <c r="AF84" s="10">
        <v>4.0000000000000001E-3</v>
      </c>
      <c r="AG84" s="10">
        <v>5.0000000000000001E-4</v>
      </c>
      <c r="AH84" s="10">
        <v>1.2999999999999999E-3</v>
      </c>
      <c r="AI84" s="10">
        <v>2.1999999999999999E-2</v>
      </c>
      <c r="AJ84" s="77">
        <v>3.0000000000000001E-3</v>
      </c>
      <c r="AK84" s="21" t="s">
        <v>90</v>
      </c>
      <c r="AL84" s="74">
        <f t="shared" si="9"/>
        <v>0.63900000000000001</v>
      </c>
      <c r="AM84" s="13">
        <f t="shared" si="10"/>
        <v>0.27388333333333337</v>
      </c>
      <c r="AN84" s="81">
        <f t="shared" si="11"/>
        <v>0.44298651459943905</v>
      </c>
      <c r="AO84" s="85">
        <f t="shared" si="12"/>
        <v>0.37264999999999998</v>
      </c>
    </row>
    <row r="85" spans="2:41" x14ac:dyDescent="0.25">
      <c r="B85" s="41"/>
      <c r="C85" s="116" t="s">
        <v>63</v>
      </c>
      <c r="D85" s="11">
        <v>5210</v>
      </c>
      <c r="E85" s="10" t="s">
        <v>41</v>
      </c>
      <c r="F85" s="11" t="s">
        <v>67</v>
      </c>
      <c r="G85" s="10" t="s">
        <v>43</v>
      </c>
      <c r="H85" s="162" t="s">
        <v>157</v>
      </c>
      <c r="I85" s="77">
        <v>15</v>
      </c>
      <c r="J85" s="46"/>
      <c r="K85" s="20">
        <v>9.8000000000000004E-2</v>
      </c>
      <c r="L85" s="10">
        <v>0.35</v>
      </c>
      <c r="M85" s="10">
        <v>1.45</v>
      </c>
      <c r="N85" s="10">
        <v>8.9999999999999993E-3</v>
      </c>
      <c r="O85" s="10">
        <v>6.0000000000000001E-3</v>
      </c>
      <c r="P85" s="10">
        <v>9.2999999999999999E-2</v>
      </c>
      <c r="Q85" s="10">
        <v>1.97</v>
      </c>
      <c r="R85" s="10">
        <v>0.83</v>
      </c>
      <c r="S85" s="10">
        <v>5.0000000000000001E-3</v>
      </c>
      <c r="T85" s="10">
        <v>8.0000000000000002E-3</v>
      </c>
      <c r="U85" s="10">
        <v>4.0000000000000001E-3</v>
      </c>
      <c r="V85" s="10">
        <v>4.0000000000000001E-3</v>
      </c>
      <c r="W85" s="10">
        <v>1.9E-2</v>
      </c>
      <c r="X85" s="10">
        <v>2.1999999999999999E-2</v>
      </c>
      <c r="Y85" s="10">
        <v>4.0000000000000001E-3</v>
      </c>
      <c r="Z85" s="10">
        <v>1.0999999999999999E-2</v>
      </c>
      <c r="AA85" s="10" t="s">
        <v>46</v>
      </c>
      <c r="AB85" s="10">
        <v>2E-3</v>
      </c>
      <c r="AC85" s="10">
        <v>2E-3</v>
      </c>
      <c r="AD85" s="10" t="s">
        <v>47</v>
      </c>
      <c r="AE85" s="10">
        <v>2.9999999999999997E-4</v>
      </c>
      <c r="AF85" s="10">
        <v>4.0000000000000001E-3</v>
      </c>
      <c r="AG85" s="10">
        <v>5.0000000000000001E-4</v>
      </c>
      <c r="AH85" s="10">
        <v>1.1000000000000001E-3</v>
      </c>
      <c r="AI85" s="10">
        <v>1.6E-2</v>
      </c>
      <c r="AJ85" s="77">
        <v>3.0000000000000001E-3</v>
      </c>
      <c r="AK85" s="21" t="s">
        <v>90</v>
      </c>
      <c r="AL85" s="74">
        <f t="shared" si="9"/>
        <v>0.65766666666666673</v>
      </c>
      <c r="AM85" s="13">
        <f t="shared" si="10"/>
        <v>0.27783333333333332</v>
      </c>
      <c r="AN85" s="81">
        <f t="shared" si="11"/>
        <v>0.44859127234302476</v>
      </c>
      <c r="AO85" s="85">
        <f t="shared" si="12"/>
        <v>0.38084999999999997</v>
      </c>
    </row>
    <row r="86" spans="2:41" x14ac:dyDescent="0.25">
      <c r="B86" s="41"/>
      <c r="C86" s="116" t="s">
        <v>63</v>
      </c>
      <c r="D86" s="11">
        <v>5338</v>
      </c>
      <c r="E86" s="10" t="s">
        <v>42</v>
      </c>
      <c r="F86" s="11" t="s">
        <v>68</v>
      </c>
      <c r="G86" s="10" t="s">
        <v>43</v>
      </c>
      <c r="H86" s="162" t="s">
        <v>156</v>
      </c>
      <c r="I86" s="77">
        <v>10</v>
      </c>
      <c r="J86" s="46"/>
      <c r="K86" s="20">
        <v>0.13</v>
      </c>
      <c r="L86" s="10">
        <v>0.33</v>
      </c>
      <c r="M86" s="10">
        <v>1.48</v>
      </c>
      <c r="N86" s="10">
        <v>8.9999999999999993E-3</v>
      </c>
      <c r="O86" s="10">
        <v>6.0000000000000001E-3</v>
      </c>
      <c r="P86" s="10">
        <v>7.9000000000000001E-2</v>
      </c>
      <c r="Q86" s="13">
        <v>1.8</v>
      </c>
      <c r="R86" s="10">
        <v>0.89</v>
      </c>
      <c r="S86" s="10">
        <v>5.0000000000000001E-3</v>
      </c>
      <c r="T86" s="10">
        <v>8.0000000000000002E-3</v>
      </c>
      <c r="U86" s="10">
        <v>1.2E-2</v>
      </c>
      <c r="V86" s="10">
        <v>8.0000000000000002E-3</v>
      </c>
      <c r="W86" s="10">
        <v>1.7999999999999999E-2</v>
      </c>
      <c r="X86" s="10">
        <v>2.7E-2</v>
      </c>
      <c r="Y86" s="10">
        <v>4.0000000000000001E-3</v>
      </c>
      <c r="Z86" s="10">
        <v>7.0000000000000001E-3</v>
      </c>
      <c r="AA86" s="10" t="s">
        <v>46</v>
      </c>
      <c r="AB86" s="10">
        <v>2E-3</v>
      </c>
      <c r="AC86" s="10">
        <v>1E-3</v>
      </c>
      <c r="AD86" s="10" t="s">
        <v>47</v>
      </c>
      <c r="AE86" s="10">
        <v>4.0000000000000002E-4</v>
      </c>
      <c r="AF86" s="10">
        <v>4.0000000000000001E-3</v>
      </c>
      <c r="AG86" s="10">
        <v>5.0000000000000001E-4</v>
      </c>
      <c r="AH86" s="10">
        <v>1.1999999999999999E-3</v>
      </c>
      <c r="AI86" s="14">
        <v>0.02</v>
      </c>
      <c r="AJ86" s="77">
        <v>3.0000000000000001E-3</v>
      </c>
      <c r="AK86" s="21" t="s">
        <v>90</v>
      </c>
      <c r="AL86" s="74">
        <f t="shared" si="9"/>
        <v>0.69406666666666661</v>
      </c>
      <c r="AM86" s="13">
        <f t="shared" si="10"/>
        <v>0.31238333333333335</v>
      </c>
      <c r="AN86" s="81">
        <f t="shared" si="11"/>
        <v>0.56917282263005819</v>
      </c>
      <c r="AO86" s="85">
        <f t="shared" si="12"/>
        <v>0.41685</v>
      </c>
    </row>
    <row r="87" spans="2:41" ht="15.75" thickBot="1" x14ac:dyDescent="0.3">
      <c r="B87" s="41"/>
      <c r="C87" s="166" t="s">
        <v>63</v>
      </c>
      <c r="D87" s="62">
        <v>5339</v>
      </c>
      <c r="E87" s="63" t="s">
        <v>42</v>
      </c>
      <c r="F87" s="62" t="s">
        <v>68</v>
      </c>
      <c r="G87" s="63" t="s">
        <v>43</v>
      </c>
      <c r="H87" s="204" t="s">
        <v>157</v>
      </c>
      <c r="I87" s="97">
        <v>15</v>
      </c>
      <c r="J87" s="201"/>
      <c r="K87" s="65">
        <v>0.12</v>
      </c>
      <c r="L87" s="63">
        <v>0.34</v>
      </c>
      <c r="M87" s="63">
        <v>1.54</v>
      </c>
      <c r="N87" s="63">
        <v>8.9999999999999993E-3</v>
      </c>
      <c r="O87" s="63">
        <v>6.0000000000000001E-3</v>
      </c>
      <c r="P87" s="63">
        <v>6.9000000000000006E-2</v>
      </c>
      <c r="Q87" s="63">
        <v>1.98</v>
      </c>
      <c r="R87" s="63">
        <v>0.93</v>
      </c>
      <c r="S87" s="63">
        <v>5.0000000000000001E-3</v>
      </c>
      <c r="T87" s="63">
        <v>8.0000000000000002E-3</v>
      </c>
      <c r="U87" s="66">
        <v>0.01</v>
      </c>
      <c r="V87" s="63">
        <v>8.0000000000000002E-3</v>
      </c>
      <c r="W87" s="66">
        <v>0.02</v>
      </c>
      <c r="X87" s="63">
        <v>2.3E-2</v>
      </c>
      <c r="Y87" s="63">
        <v>5.0000000000000001E-3</v>
      </c>
      <c r="Z87" s="63">
        <v>8.0000000000000002E-3</v>
      </c>
      <c r="AA87" s="63" t="s">
        <v>46</v>
      </c>
      <c r="AB87" s="63">
        <v>2E-3</v>
      </c>
      <c r="AC87" s="63">
        <v>1E-3</v>
      </c>
      <c r="AD87" s="63" t="s">
        <v>47</v>
      </c>
      <c r="AE87" s="63">
        <v>2.9999999999999997E-4</v>
      </c>
      <c r="AF87" s="63">
        <v>5.0000000000000001E-3</v>
      </c>
      <c r="AG87" s="63">
        <v>6.9999999999999999E-4</v>
      </c>
      <c r="AH87" s="63">
        <v>1.5E-3</v>
      </c>
      <c r="AI87" s="63">
        <v>1.6E-2</v>
      </c>
      <c r="AJ87" s="97">
        <v>3.0000000000000001E-3</v>
      </c>
      <c r="AK87" s="23" t="s">
        <v>90</v>
      </c>
      <c r="AL87" s="76">
        <f t="shared" si="9"/>
        <v>0.71179999999999999</v>
      </c>
      <c r="AM87" s="67">
        <f t="shared" si="10"/>
        <v>0.31028333333333336</v>
      </c>
      <c r="AN87" s="83">
        <f t="shared" si="11"/>
        <v>0.550925</v>
      </c>
      <c r="AO87" s="86">
        <f t="shared" si="12"/>
        <v>0.42094999999999999</v>
      </c>
    </row>
    <row r="88" spans="2:41" ht="6.75" hidden="1" customHeight="1" x14ac:dyDescent="0.25">
      <c r="B88" s="41"/>
      <c r="J88" s="21"/>
      <c r="K88" s="59"/>
      <c r="AJ88" s="46"/>
      <c r="AK88" s="21"/>
      <c r="AL88" s="158"/>
      <c r="AM88" s="121"/>
      <c r="AN88" s="159"/>
      <c r="AO88" s="160"/>
    </row>
    <row r="89" spans="2:41" hidden="1" x14ac:dyDescent="0.25">
      <c r="B89" s="41"/>
      <c r="C89" s="1" t="s">
        <v>63</v>
      </c>
      <c r="D89" s="11">
        <v>5209</v>
      </c>
      <c r="E89" s="10" t="s">
        <v>41</v>
      </c>
      <c r="F89" s="11" t="s">
        <v>67</v>
      </c>
      <c r="G89" s="8" t="s">
        <v>43</v>
      </c>
      <c r="H89" s="47"/>
      <c r="I89" s="1">
        <v>10</v>
      </c>
      <c r="J89" s="21"/>
      <c r="K89" s="20">
        <v>0.11</v>
      </c>
      <c r="L89" s="10">
        <v>0.37</v>
      </c>
      <c r="M89" s="10">
        <v>1.48</v>
      </c>
      <c r="N89" s="14">
        <v>0.01</v>
      </c>
      <c r="O89" s="14">
        <v>2E-3</v>
      </c>
      <c r="P89" s="10">
        <v>6.2E-2</v>
      </c>
      <c r="Q89" s="13">
        <v>2.31</v>
      </c>
      <c r="R89" s="10">
        <v>0.96</v>
      </c>
      <c r="S89" s="10">
        <v>5.0000000000000001E-3</v>
      </c>
      <c r="T89" s="10">
        <v>6.0000000000000001E-3</v>
      </c>
      <c r="U89" s="10">
        <v>3.0000000000000001E-3</v>
      </c>
      <c r="V89" s="10">
        <v>5.0000000000000001E-3</v>
      </c>
      <c r="W89" s="10">
        <v>2.1999999999999999E-2</v>
      </c>
      <c r="X89" s="10">
        <v>2.3E-2</v>
      </c>
      <c r="Y89" s="10">
        <v>5.0000000000000001E-3</v>
      </c>
      <c r="Z89" s="10">
        <v>8.9999999999999993E-3</v>
      </c>
      <c r="AA89" s="10" t="s">
        <v>46</v>
      </c>
      <c r="AB89" s="10">
        <v>2E-3</v>
      </c>
      <c r="AC89" s="10">
        <v>2E-3</v>
      </c>
      <c r="AD89" s="10" t="s">
        <v>47</v>
      </c>
      <c r="AE89" s="10">
        <v>2.0000000000000001E-4</v>
      </c>
      <c r="AF89" s="10">
        <v>5.0000000000000001E-3</v>
      </c>
      <c r="AG89" s="10">
        <v>4.0000000000000002E-4</v>
      </c>
      <c r="AH89" s="10">
        <v>1.4E-3</v>
      </c>
      <c r="AJ89" s="77">
        <v>3.0000000000000001E-3</v>
      </c>
      <c r="AK89" s="21" t="s">
        <v>91</v>
      </c>
      <c r="AL89" s="74">
        <f t="shared" si="9"/>
        <v>0.71713333333333329</v>
      </c>
      <c r="AM89" s="13">
        <f t="shared" si="10"/>
        <v>0.30433333333333334</v>
      </c>
      <c r="AN89" s="81">
        <f t="shared" si="11"/>
        <v>0.51991889222560506</v>
      </c>
      <c r="AO89" s="85">
        <f t="shared" si="12"/>
        <v>0.41594999999999999</v>
      </c>
    </row>
    <row r="90" spans="2:41" hidden="1" x14ac:dyDescent="0.25">
      <c r="B90" s="41"/>
      <c r="C90" s="1" t="s">
        <v>63</v>
      </c>
      <c r="D90" s="11">
        <v>5210</v>
      </c>
      <c r="E90" s="10" t="s">
        <v>41</v>
      </c>
      <c r="F90" s="11" t="s">
        <v>67</v>
      </c>
      <c r="G90" s="8" t="s">
        <v>43</v>
      </c>
      <c r="H90" s="47"/>
      <c r="I90" s="1">
        <v>15</v>
      </c>
      <c r="J90" s="21"/>
      <c r="K90" s="20">
        <v>0.14000000000000001</v>
      </c>
      <c r="L90" s="10">
        <v>0.37</v>
      </c>
      <c r="M90" s="10">
        <v>1.48</v>
      </c>
      <c r="N90" s="14">
        <v>0.01</v>
      </c>
      <c r="O90" s="14">
        <v>1E-3</v>
      </c>
      <c r="P90" s="10">
        <v>6.4000000000000001E-2</v>
      </c>
      <c r="Q90" s="13">
        <v>2.2599999999999998</v>
      </c>
      <c r="R90" s="10">
        <v>0.95</v>
      </c>
      <c r="S90" s="10">
        <v>5.0000000000000001E-3</v>
      </c>
      <c r="T90" s="10">
        <v>7.0000000000000001E-3</v>
      </c>
      <c r="U90" s="10">
        <v>3.0000000000000001E-3</v>
      </c>
      <c r="V90" s="10">
        <v>5.0000000000000001E-3</v>
      </c>
      <c r="W90" s="10">
        <v>2.1000000000000001E-2</v>
      </c>
      <c r="X90" s="10">
        <v>1.9E-2</v>
      </c>
      <c r="Y90" s="10">
        <v>5.0000000000000001E-3</v>
      </c>
      <c r="Z90" s="10">
        <v>8.9999999999999993E-3</v>
      </c>
      <c r="AA90" s="10" t="s">
        <v>46</v>
      </c>
      <c r="AB90" s="10">
        <v>2E-3</v>
      </c>
      <c r="AC90" s="10">
        <v>2E-3</v>
      </c>
      <c r="AD90" s="10" t="s">
        <v>47</v>
      </c>
      <c r="AE90" s="10">
        <v>2.0000000000000001E-4</v>
      </c>
      <c r="AF90" s="10">
        <v>5.0000000000000001E-3</v>
      </c>
      <c r="AG90" s="10">
        <v>5.0000000000000001E-4</v>
      </c>
      <c r="AH90" s="10">
        <v>1.4E-3</v>
      </c>
      <c r="AJ90" s="77">
        <v>3.0000000000000001E-3</v>
      </c>
      <c r="AK90" s="21" t="s">
        <v>91</v>
      </c>
      <c r="AL90" s="74">
        <f t="shared" si="9"/>
        <v>0.74213333333333342</v>
      </c>
      <c r="AM90" s="13">
        <f t="shared" si="10"/>
        <v>0.33288333333333336</v>
      </c>
      <c r="AN90" s="81">
        <f t="shared" si="11"/>
        <v>0.63083900492283906</v>
      </c>
      <c r="AO90" s="85">
        <f t="shared" si="12"/>
        <v>0.44374999999999998</v>
      </c>
    </row>
    <row r="91" spans="2:41" hidden="1" x14ac:dyDescent="0.25">
      <c r="B91" s="41"/>
      <c r="C91" s="1" t="s">
        <v>63</v>
      </c>
      <c r="D91" s="11">
        <v>5338</v>
      </c>
      <c r="E91" s="10" t="s">
        <v>42</v>
      </c>
      <c r="F91" s="11" t="s">
        <v>68</v>
      </c>
      <c r="G91" s="8" t="s">
        <v>43</v>
      </c>
      <c r="H91" s="47"/>
      <c r="I91" s="1">
        <v>10</v>
      </c>
      <c r="J91" s="21"/>
      <c r="K91" s="20">
        <v>0.12</v>
      </c>
      <c r="L91" s="10">
        <v>0.37</v>
      </c>
      <c r="M91" s="10">
        <v>1.52</v>
      </c>
      <c r="N91" s="14">
        <v>0.01</v>
      </c>
      <c r="O91" s="14">
        <v>6.0000000000000001E-3</v>
      </c>
      <c r="P91" s="10">
        <v>5.3999999999999999E-2</v>
      </c>
      <c r="Q91" s="13">
        <v>2.16</v>
      </c>
      <c r="R91" s="10">
        <v>0.99</v>
      </c>
      <c r="S91" s="10">
        <v>5.0000000000000001E-3</v>
      </c>
      <c r="T91" s="10">
        <v>7.0000000000000001E-3</v>
      </c>
      <c r="U91" s="10">
        <v>7.0000000000000001E-3</v>
      </c>
      <c r="V91" s="10">
        <v>7.0000000000000001E-3</v>
      </c>
      <c r="W91" s="10">
        <v>2.1999999999999999E-2</v>
      </c>
      <c r="X91" s="10">
        <v>2.3E-2</v>
      </c>
      <c r="Y91" s="10">
        <v>5.0000000000000001E-3</v>
      </c>
      <c r="Z91" s="10">
        <v>8.0000000000000002E-3</v>
      </c>
      <c r="AA91" s="10" t="s">
        <v>46</v>
      </c>
      <c r="AB91" s="10">
        <v>2E-3</v>
      </c>
      <c r="AC91" s="10">
        <v>2E-3</v>
      </c>
      <c r="AD91" s="10" t="s">
        <v>47</v>
      </c>
      <c r="AE91" s="10">
        <v>2.0000000000000001E-4</v>
      </c>
      <c r="AF91" s="10">
        <v>5.0000000000000001E-3</v>
      </c>
      <c r="AG91" s="10">
        <v>5.0000000000000001E-4</v>
      </c>
      <c r="AH91" s="10">
        <v>1.2999999999999999E-3</v>
      </c>
      <c r="AJ91" s="77">
        <v>3.0000000000000001E-3</v>
      </c>
      <c r="AK91" s="21" t="s">
        <v>91</v>
      </c>
      <c r="AL91" s="74">
        <f t="shared" si="9"/>
        <v>0.72899999999999998</v>
      </c>
      <c r="AM91" s="13">
        <f t="shared" si="10"/>
        <v>0.3158333333333333</v>
      </c>
      <c r="AN91" s="81">
        <f t="shared" si="11"/>
        <v>0.56236249999999999</v>
      </c>
      <c r="AO91" s="85">
        <f t="shared" si="12"/>
        <v>0.42879999999999996</v>
      </c>
    </row>
    <row r="92" spans="2:41" ht="15.75" hidden="1" thickBot="1" x14ac:dyDescent="0.3">
      <c r="B92" s="60"/>
      <c r="C92" s="61" t="s">
        <v>63</v>
      </c>
      <c r="D92" s="62">
        <v>5339</v>
      </c>
      <c r="E92" s="63" t="s">
        <v>42</v>
      </c>
      <c r="F92" s="62" t="s">
        <v>68</v>
      </c>
      <c r="G92" s="64" t="s">
        <v>43</v>
      </c>
      <c r="H92" s="182"/>
      <c r="I92" s="61">
        <v>15</v>
      </c>
      <c r="J92" s="23"/>
      <c r="K92" s="65">
        <v>0.12</v>
      </c>
      <c r="L92" s="63">
        <v>0.38</v>
      </c>
      <c r="M92" s="63">
        <v>1.59</v>
      </c>
      <c r="N92" s="66">
        <v>0.01</v>
      </c>
      <c r="O92" s="66">
        <v>7.0000000000000001E-3</v>
      </c>
      <c r="P92" s="63">
        <v>4.9000000000000002E-2</v>
      </c>
      <c r="Q92" s="67">
        <v>2.34</v>
      </c>
      <c r="R92" s="63">
        <v>1.02</v>
      </c>
      <c r="S92" s="63">
        <v>5.0000000000000001E-3</v>
      </c>
      <c r="T92" s="63">
        <v>7.0000000000000001E-3</v>
      </c>
      <c r="U92" s="63">
        <v>6.0000000000000001E-3</v>
      </c>
      <c r="V92" s="63">
        <v>6.0000000000000001E-3</v>
      </c>
      <c r="W92" s="63">
        <v>2.1999999999999999E-2</v>
      </c>
      <c r="X92" s="63">
        <v>1.9E-2</v>
      </c>
      <c r="Y92" s="63">
        <v>5.0000000000000001E-3</v>
      </c>
      <c r="Z92" s="63">
        <v>7.0000000000000001E-3</v>
      </c>
      <c r="AA92" s="63" t="s">
        <v>46</v>
      </c>
      <c r="AB92" s="63">
        <v>2E-3</v>
      </c>
      <c r="AC92" s="63">
        <v>2E-3</v>
      </c>
      <c r="AD92" s="63" t="s">
        <v>47</v>
      </c>
      <c r="AE92" s="63">
        <v>2.0000000000000001E-4</v>
      </c>
      <c r="AF92" s="63">
        <v>5.0000000000000001E-3</v>
      </c>
      <c r="AG92" s="63">
        <v>4.0000000000000002E-4</v>
      </c>
      <c r="AH92" s="63">
        <v>1.2999999999999999E-3</v>
      </c>
      <c r="AI92" s="78"/>
      <c r="AJ92" s="77">
        <v>3.0000000000000001E-3</v>
      </c>
      <c r="AK92" s="23" t="s">
        <v>91</v>
      </c>
      <c r="AL92" s="76">
        <f t="shared" si="9"/>
        <v>0.75746666666666662</v>
      </c>
      <c r="AM92" s="67">
        <f t="shared" si="10"/>
        <v>0.32431666666666664</v>
      </c>
      <c r="AN92" s="83">
        <f t="shared" si="11"/>
        <v>0.58162499999999995</v>
      </c>
      <c r="AO92" s="86">
        <f t="shared" si="12"/>
        <v>0.44305</v>
      </c>
    </row>
    <row r="93" spans="2:41" x14ac:dyDescent="0.25">
      <c r="AL93" s="12"/>
    </row>
    <row r="94" spans="2:41" x14ac:dyDescent="0.25">
      <c r="AL94" s="12"/>
    </row>
    <row r="95" spans="2:41" x14ac:dyDescent="0.25">
      <c r="AL95" s="12"/>
    </row>
    <row r="96" spans="2:41" x14ac:dyDescent="0.25">
      <c r="AL96" s="12"/>
    </row>
    <row r="97" spans="38:38" x14ac:dyDescent="0.25">
      <c r="AL97" s="12"/>
    </row>
    <row r="98" spans="38:38" x14ac:dyDescent="0.25">
      <c r="AL98" s="12"/>
    </row>
    <row r="99" spans="38:38" x14ac:dyDescent="0.25">
      <c r="AL99" s="12"/>
    </row>
    <row r="100" spans="38:38" x14ac:dyDescent="0.25">
      <c r="AL100" s="12"/>
    </row>
    <row r="101" spans="38:38" x14ac:dyDescent="0.25">
      <c r="AL101" s="12"/>
    </row>
    <row r="102" spans="38:38" x14ac:dyDescent="0.25">
      <c r="AL102" s="12"/>
    </row>
    <row r="103" spans="38:38" x14ac:dyDescent="0.25">
      <c r="AL103" s="12"/>
    </row>
    <row r="104" spans="38:38" x14ac:dyDescent="0.25">
      <c r="AL104" s="12"/>
    </row>
    <row r="105" spans="38:38" x14ac:dyDescent="0.25">
      <c r="AL105" s="12"/>
    </row>
    <row r="106" spans="38:38" x14ac:dyDescent="0.25">
      <c r="AL106" s="12"/>
    </row>
    <row r="107" spans="38:38" x14ac:dyDescent="0.25">
      <c r="AL107" s="12"/>
    </row>
    <row r="108" spans="38:38" x14ac:dyDescent="0.25">
      <c r="AL108" s="12"/>
    </row>
  </sheetData>
  <mergeCells count="11">
    <mergeCell ref="AL3:AO3"/>
    <mergeCell ref="AK13:AK16"/>
    <mergeCell ref="AK18:AK23"/>
    <mergeCell ref="AK41:AK46"/>
    <mergeCell ref="AK48:AK53"/>
    <mergeCell ref="AK3:AK4"/>
    <mergeCell ref="B3:B4"/>
    <mergeCell ref="C3:C4"/>
    <mergeCell ref="D3:I3"/>
    <mergeCell ref="J3:J4"/>
    <mergeCell ref="K3:AJ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U40"/>
  <sheetViews>
    <sheetView topLeftCell="A3" zoomScale="90" zoomScaleNormal="90" workbookViewId="0">
      <pane ySplit="1890" activePane="bottomLeft"/>
      <selection activeCell="R4" sqref="R1:V1048576"/>
      <selection pane="bottomLeft" activeCell="M34" sqref="M34"/>
    </sheetView>
  </sheetViews>
  <sheetFormatPr defaultRowHeight="15" x14ac:dyDescent="0.25"/>
  <cols>
    <col min="1" max="1" width="3.140625" customWidth="1"/>
    <col min="2" max="2" width="20" style="1" customWidth="1"/>
    <col min="3" max="3" width="10.42578125" style="1" customWidth="1"/>
    <col min="4" max="4" width="9.140625" style="1" customWidth="1"/>
    <col min="5" max="5" width="1" customWidth="1"/>
    <col min="6" max="9" width="6.7109375" customWidth="1"/>
    <col min="10" max="10" width="8.140625" customWidth="1"/>
    <col min="11" max="16" width="6.7109375" customWidth="1"/>
    <col min="17" max="17" width="9.42578125" customWidth="1"/>
    <col min="18" max="18" width="9.7109375" customWidth="1"/>
    <col min="19" max="19" width="9.140625" style="1"/>
  </cols>
  <sheetData>
    <row r="2" spans="2:21" ht="15.75" thickBot="1" x14ac:dyDescent="0.3"/>
    <row r="3" spans="2:21" ht="15" customHeight="1" x14ac:dyDescent="0.25">
      <c r="B3" s="396"/>
      <c r="C3" s="394"/>
      <c r="D3" s="395"/>
      <c r="E3" s="419"/>
      <c r="F3" s="396" t="s">
        <v>30</v>
      </c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426" t="s">
        <v>106</v>
      </c>
      <c r="S3" s="427"/>
      <c r="T3" s="427"/>
      <c r="U3" s="428"/>
    </row>
    <row r="4" spans="2:21" ht="19.5" thickBot="1" x14ac:dyDescent="0.4">
      <c r="B4" s="5" t="s">
        <v>143</v>
      </c>
      <c r="C4" s="7" t="s">
        <v>28</v>
      </c>
      <c r="D4" s="105" t="s">
        <v>31</v>
      </c>
      <c r="E4" s="420"/>
      <c r="F4" s="111" t="s">
        <v>111</v>
      </c>
      <c r="G4" s="2" t="s">
        <v>1</v>
      </c>
      <c r="H4" s="2" t="s">
        <v>2</v>
      </c>
      <c r="I4" s="2" t="s">
        <v>5</v>
      </c>
      <c r="J4" s="2" t="s">
        <v>6</v>
      </c>
      <c r="K4" s="2" t="s">
        <v>7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19</v>
      </c>
      <c r="Q4" s="126" t="s">
        <v>20</v>
      </c>
      <c r="R4" s="131" t="s">
        <v>104</v>
      </c>
      <c r="S4" s="132" t="s">
        <v>105</v>
      </c>
      <c r="T4" s="133" t="s">
        <v>107</v>
      </c>
      <c r="U4" s="134" t="s">
        <v>109</v>
      </c>
    </row>
    <row r="5" spans="2:21" ht="5.25" customHeight="1" x14ac:dyDescent="0.25">
      <c r="B5" s="36"/>
      <c r="C5" s="37"/>
      <c r="D5" s="106"/>
      <c r="E5" s="39"/>
      <c r="F5" s="112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135"/>
      <c r="S5" s="136"/>
      <c r="T5" s="137"/>
      <c r="U5" s="138"/>
    </row>
    <row r="6" spans="2:21" x14ac:dyDescent="0.25">
      <c r="B6" s="116" t="s">
        <v>41</v>
      </c>
      <c r="C6" s="115" t="s">
        <v>39</v>
      </c>
      <c r="D6" s="117" t="s">
        <v>39</v>
      </c>
      <c r="F6" s="118">
        <v>0.14399999999999999</v>
      </c>
      <c r="G6" s="10">
        <v>0.27</v>
      </c>
      <c r="H6" s="10">
        <v>1.1100000000000001</v>
      </c>
      <c r="I6" s="10">
        <v>0.28000000000000003</v>
      </c>
      <c r="J6" s="14">
        <v>5.0999999999999997E-2</v>
      </c>
      <c r="K6" s="10">
        <v>0.16</v>
      </c>
      <c r="L6" s="10">
        <v>1.2E-2</v>
      </c>
      <c r="M6" s="10" t="s">
        <v>97</v>
      </c>
      <c r="N6" s="10">
        <v>8.9999999999999993E-3</v>
      </c>
      <c r="O6" s="10">
        <v>4.4999999999999998E-2</v>
      </c>
      <c r="P6" s="10" t="s">
        <v>97</v>
      </c>
      <c r="Q6" s="127">
        <v>1E-3</v>
      </c>
      <c r="R6" s="189">
        <f>F6+H6/6+N6/15+J6/15+I6/5+K6/5+L6/5</f>
        <v>0.42340000000000005</v>
      </c>
      <c r="S6" s="208">
        <f>F6+G6/30+H6/20+N6/20+J6/60+I6/20+K6/15+L6/10+5*Q6</f>
        <v>0.2406666666666667</v>
      </c>
      <c r="T6" s="209">
        <f>F6+(0.75+0.25*TANH(20*(F6-0.12)))*(G6/24+H6/6+N6/15+J6/20+I6/5+K6/5+0.005/5+L6/5)</f>
        <v>0.39454191046508624</v>
      </c>
      <c r="U6" s="194">
        <f>F6+H6/10+K6/10+I6/20+N6/20+J6/40</f>
        <v>0.28672500000000006</v>
      </c>
    </row>
    <row r="7" spans="2:21" x14ac:dyDescent="0.25">
      <c r="B7" s="116" t="s">
        <v>42</v>
      </c>
      <c r="C7" s="115" t="s">
        <v>39</v>
      </c>
      <c r="D7" s="117" t="s">
        <v>39</v>
      </c>
      <c r="F7" s="118">
        <v>0.16900000000000001</v>
      </c>
      <c r="G7" s="10">
        <v>0.21</v>
      </c>
      <c r="H7" s="10">
        <v>1.21</v>
      </c>
      <c r="I7" s="10">
        <v>0.19</v>
      </c>
      <c r="J7" s="14">
        <v>4.3999999999999997E-2</v>
      </c>
      <c r="K7" s="10">
        <v>0.61</v>
      </c>
      <c r="L7" s="10">
        <v>3.7999999999999999E-2</v>
      </c>
      <c r="M7" s="10">
        <v>1.4E-2</v>
      </c>
      <c r="N7" s="10">
        <v>8.0000000000000002E-3</v>
      </c>
      <c r="O7" s="10">
        <v>5.0999999999999997E-2</v>
      </c>
      <c r="P7" s="10" t="s">
        <v>97</v>
      </c>
      <c r="Q7" s="128">
        <v>8.9999999999999998E-4</v>
      </c>
      <c r="R7" s="139">
        <f>F7+H7/6+N7/15+J7/15+I7/5+K7/5+L7/5</f>
        <v>0.5417333333333334</v>
      </c>
      <c r="S7" s="140">
        <f>F7+G7/30+H7/20+N7/20+J7/60+I7/20+K7/15+L7/10+5*Q7</f>
        <v>0.29610000000000009</v>
      </c>
      <c r="T7" s="141">
        <f>F7+(0.75+0.25*TANH(20*(F7-0.12)))*(G7/24+H7/6+N7/15+J7/20+I7/5+K7/5+M7/5+L7/5)</f>
        <v>0.52887210695317921</v>
      </c>
      <c r="U7" s="142">
        <f>F7+H7/10+K7/10+I7/20+N7/20+J7/40</f>
        <v>0.36200000000000004</v>
      </c>
    </row>
    <row r="8" spans="2:21" ht="6.75" customHeight="1" x14ac:dyDescent="0.25">
      <c r="B8" s="116"/>
      <c r="C8" s="10"/>
      <c r="D8" s="77"/>
      <c r="F8" s="123"/>
      <c r="G8" s="13"/>
      <c r="H8" s="13"/>
      <c r="I8" s="10"/>
      <c r="J8" s="14"/>
      <c r="K8" s="10"/>
      <c r="L8" s="10"/>
      <c r="M8" s="10"/>
      <c r="N8" s="10"/>
      <c r="O8" s="10"/>
      <c r="P8" s="10"/>
      <c r="Q8" s="128"/>
      <c r="R8" s="139"/>
      <c r="S8" s="140"/>
      <c r="T8" s="141"/>
      <c r="U8" s="142"/>
    </row>
    <row r="9" spans="2:21" x14ac:dyDescent="0.25">
      <c r="B9" s="116" t="s">
        <v>37</v>
      </c>
      <c r="C9" s="10" t="s">
        <v>40</v>
      </c>
      <c r="D9" s="77">
        <v>7</v>
      </c>
      <c r="F9" s="123">
        <v>5.2999999999999999E-2</v>
      </c>
      <c r="G9" s="13">
        <v>0.33</v>
      </c>
      <c r="H9" s="13">
        <v>2.2000000000000002</v>
      </c>
      <c r="I9" s="10">
        <v>0.51</v>
      </c>
      <c r="J9" s="114">
        <v>3.3</v>
      </c>
      <c r="K9" s="10">
        <v>0.62</v>
      </c>
      <c r="L9" s="10">
        <v>1.6E-2</v>
      </c>
      <c r="M9" s="10">
        <v>8.9999999999999993E-3</v>
      </c>
      <c r="N9" s="10">
        <v>8.9999999999999993E-3</v>
      </c>
      <c r="O9" s="10">
        <v>4.0000000000000001E-3</v>
      </c>
      <c r="P9" s="10" t="s">
        <v>47</v>
      </c>
      <c r="Q9" s="128" t="s">
        <v>48</v>
      </c>
      <c r="R9" s="139">
        <f>F9+H9/6+N9/15+J9/15+I9/5+K9/5+L9/5</f>
        <v>0.86946666666666661</v>
      </c>
      <c r="S9" s="140">
        <f>F9+G9/30+H9/20+N9/20+J9/60+I9/20+K9/15+L9/10+0.0002</f>
        <v>0.29808333333333331</v>
      </c>
      <c r="T9" s="141">
        <f>F9+(0.75+0.25*TANH(20*(F9-0.12)))*(G9/24+H9/6+N9/15+J9/20+I9/5+K9/5+M9/5+L9/5)</f>
        <v>0.46643653401571339</v>
      </c>
      <c r="U9" s="142">
        <f>F9+H9/10+K9/10+I9/20+N9/20+J9/40</f>
        <v>0.44345000000000001</v>
      </c>
    </row>
    <row r="10" spans="2:21" x14ac:dyDescent="0.25">
      <c r="B10" s="116" t="s">
        <v>37</v>
      </c>
      <c r="C10" s="10" t="s">
        <v>40</v>
      </c>
      <c r="D10" s="77">
        <v>11</v>
      </c>
      <c r="F10" s="123">
        <v>5.6000000000000001E-2</v>
      </c>
      <c r="G10" s="13">
        <v>0.37</v>
      </c>
      <c r="H10" s="13">
        <v>2.2799999999999998</v>
      </c>
      <c r="I10" s="10">
        <v>0.53</v>
      </c>
      <c r="J10" s="114">
        <v>3.4</v>
      </c>
      <c r="K10" s="10">
        <v>0.62</v>
      </c>
      <c r="L10" s="10">
        <v>1.6E-2</v>
      </c>
      <c r="M10" s="10">
        <v>8.9999999999999993E-3</v>
      </c>
      <c r="N10" s="10">
        <v>8.9999999999999993E-3</v>
      </c>
      <c r="O10" s="10">
        <v>4.0000000000000001E-3</v>
      </c>
      <c r="P10" s="10" t="s">
        <v>47</v>
      </c>
      <c r="Q10" s="128" t="s">
        <v>48</v>
      </c>
      <c r="R10" s="190">
        <f>F10+H10/6+N10/15+J10/15+I10/5+K10/5+L10/5</f>
        <v>0.89646666666666652</v>
      </c>
      <c r="S10" s="140">
        <f>F10+G10/30+H10/20+N10/20+J10/60+I10/20+K10/15+L10/10+0.0002</f>
        <v>0.30908333333333332</v>
      </c>
      <c r="T10" s="141">
        <f>F10+(0.75+0.25*TANH(20*(F10-0.12)))*(G10/24+H10/6+N10/15+J10/20+I10/5+K10/5+M10/5+L10/5)</f>
        <v>0.48524782698948454</v>
      </c>
      <c r="U10" s="193">
        <f>F10+H10/10+K10/10+I10/20+N10/20+J10/40</f>
        <v>0.45794999999999997</v>
      </c>
    </row>
    <row r="11" spans="2:21" x14ac:dyDescent="0.25">
      <c r="B11" s="116" t="s">
        <v>38</v>
      </c>
      <c r="C11" s="10" t="s">
        <v>40</v>
      </c>
      <c r="D11" s="77">
        <v>7</v>
      </c>
      <c r="F11" s="74">
        <v>0.1</v>
      </c>
      <c r="G11" s="13">
        <v>0.4</v>
      </c>
      <c r="H11" s="13">
        <v>0.97</v>
      </c>
      <c r="I11" s="10">
        <v>0.64</v>
      </c>
      <c r="J11" s="114">
        <v>3.3</v>
      </c>
      <c r="K11" s="10">
        <v>0.86</v>
      </c>
      <c r="L11" s="10">
        <v>4.0000000000000001E-3</v>
      </c>
      <c r="M11" s="10">
        <v>7.0000000000000001E-3</v>
      </c>
      <c r="N11" s="10">
        <v>1.7000000000000001E-2</v>
      </c>
      <c r="O11" s="10">
        <v>3.0000000000000001E-3</v>
      </c>
      <c r="P11" s="10" t="s">
        <v>47</v>
      </c>
      <c r="Q11" s="128" t="s">
        <v>48</v>
      </c>
      <c r="R11" s="139">
        <f>F11+H11/6+N11/15+J11/15+I11/5+K11/5+L11/5</f>
        <v>0.78359999999999996</v>
      </c>
      <c r="S11" s="140">
        <f>F11+G11/30+H11/20+N11/20+J11/60+I11/20+K11/15+L11/10+0.0002</f>
        <v>0.30761666666666665</v>
      </c>
      <c r="T11" s="141">
        <f>F11+(0.75+0.25*TANH(20*(F11-0.12)))*(G11/24+H11/6+N11/15+J11/20+I11/5+K11/5+M11/5+L11/5)</f>
        <v>0.52357491776873866</v>
      </c>
      <c r="U11" s="142">
        <f>F11+H11/10+K11/10+I11/20+N11/20+J11/40</f>
        <v>0.39835000000000009</v>
      </c>
    </row>
    <row r="12" spans="2:21" x14ac:dyDescent="0.25">
      <c r="B12" s="116" t="s">
        <v>38</v>
      </c>
      <c r="C12" s="10" t="s">
        <v>40</v>
      </c>
      <c r="D12" s="77">
        <v>11</v>
      </c>
      <c r="F12" s="74">
        <v>0.11</v>
      </c>
      <c r="G12" s="13">
        <v>0.44</v>
      </c>
      <c r="H12" s="13">
        <v>0.98</v>
      </c>
      <c r="I12" s="10">
        <v>0.63</v>
      </c>
      <c r="J12" s="114">
        <v>3.3</v>
      </c>
      <c r="K12" s="10">
        <v>0.85</v>
      </c>
      <c r="L12" s="10">
        <v>3.0000000000000001E-3</v>
      </c>
      <c r="M12" s="10">
        <v>6.0000000000000001E-3</v>
      </c>
      <c r="N12" s="10">
        <v>1.7000000000000001E-2</v>
      </c>
      <c r="O12" s="10">
        <v>3.0000000000000001E-3</v>
      </c>
      <c r="P12" s="10" t="s">
        <v>47</v>
      </c>
      <c r="Q12" s="128" t="s">
        <v>48</v>
      </c>
      <c r="R12" s="139">
        <f>F12+H12/6+N12/15+J12/15+I12/5+K12/5+L12/5</f>
        <v>0.7910666666666667</v>
      </c>
      <c r="S12" s="140">
        <f>F12+G12/30+H12/20+N12/20+J12/60+I12/20+K12/15+L12/10+0.0002</f>
        <v>0.31818333333333332</v>
      </c>
      <c r="T12" s="141">
        <f>F12+(0.75+0.25*TANH(20*(F12-0.12)))*(G12/24+H12/6+N12/15+J12/20+I12/5+K12/5+M12/5+L12/5)</f>
        <v>0.56234362331570042</v>
      </c>
      <c r="U12" s="142">
        <f>F12+H12/10+K12/10+I12/20+N12/20+J12/40</f>
        <v>0.40785000000000005</v>
      </c>
    </row>
    <row r="13" spans="2:21" ht="6.75" customHeight="1" x14ac:dyDescent="0.25">
      <c r="B13" s="116"/>
      <c r="C13" s="10"/>
      <c r="D13" s="77"/>
      <c r="F13" s="123"/>
      <c r="G13" s="13"/>
      <c r="H13" s="13"/>
      <c r="I13" s="10"/>
      <c r="J13" s="13"/>
      <c r="K13" s="10"/>
      <c r="L13" s="10"/>
      <c r="M13" s="10"/>
      <c r="N13" s="10"/>
      <c r="O13" s="10"/>
      <c r="P13" s="10"/>
      <c r="Q13" s="128"/>
      <c r="R13" s="139"/>
      <c r="S13" s="140"/>
      <c r="T13" s="141"/>
      <c r="U13" s="142"/>
    </row>
    <row r="14" spans="2:21" x14ac:dyDescent="0.25">
      <c r="B14" s="116" t="s">
        <v>52</v>
      </c>
      <c r="C14" s="10" t="s">
        <v>85</v>
      </c>
      <c r="D14" s="117" t="s">
        <v>39</v>
      </c>
      <c r="F14" s="74">
        <v>0.1</v>
      </c>
      <c r="G14" s="13">
        <v>0.77</v>
      </c>
      <c r="H14" s="13">
        <v>1.86</v>
      </c>
      <c r="I14" s="10">
        <v>0.32</v>
      </c>
      <c r="J14" s="13">
        <v>1.85</v>
      </c>
      <c r="K14" s="10">
        <v>0.45</v>
      </c>
      <c r="L14" s="10">
        <v>0.01</v>
      </c>
      <c r="M14" s="113"/>
      <c r="N14" s="10">
        <v>0.04</v>
      </c>
      <c r="O14" s="10" t="s">
        <v>86</v>
      </c>
      <c r="P14" s="10">
        <v>0.01</v>
      </c>
      <c r="Q14" s="129"/>
      <c r="R14" s="139">
        <f t="shared" ref="R14:R21" si="0">F14+H14/6+N14/15+J14/15+I14/5+K14/5+L14/5</f>
        <v>0.69200000000000006</v>
      </c>
      <c r="S14" s="140">
        <f t="shared" ref="S14:S21" si="1">F14+G14/30+H14/20+N14/20+J14/60+I14/20+K14/15+L14/10+5*Q14</f>
        <v>0.29850000000000004</v>
      </c>
      <c r="T14" s="141">
        <f t="shared" ref="T14:T21" si="2">F14+(0.75+0.25*TANH(20*(F14-0.12)))*(G14/24+H14/6+N14/15+J14/20+I14/5+K14/5+M14/5+L14/5)</f>
        <v>0.48858631953552201</v>
      </c>
      <c r="U14" s="142">
        <f t="shared" ref="U14:U21" si="3">F14+H14/10+K14/10+I14/20+N14/20+J14/40</f>
        <v>0.39525000000000005</v>
      </c>
    </row>
    <row r="15" spans="2:21" x14ac:dyDescent="0.25">
      <c r="B15" s="116" t="s">
        <v>57</v>
      </c>
      <c r="C15" s="10" t="s">
        <v>85</v>
      </c>
      <c r="D15" s="117" t="s">
        <v>39</v>
      </c>
      <c r="F15" s="123">
        <v>0.08</v>
      </c>
      <c r="G15" s="13">
        <v>0.8</v>
      </c>
      <c r="H15" s="13">
        <v>1.75</v>
      </c>
      <c r="I15" s="10">
        <v>0.41</v>
      </c>
      <c r="J15" s="13">
        <v>2.2200000000000002</v>
      </c>
      <c r="K15" s="10">
        <v>0.53</v>
      </c>
      <c r="L15" s="10">
        <v>0.01</v>
      </c>
      <c r="M15" s="113"/>
      <c r="N15" s="10">
        <v>0.105</v>
      </c>
      <c r="O15" s="10">
        <v>0.01</v>
      </c>
      <c r="P15" s="10" t="s">
        <v>86</v>
      </c>
      <c r="Q15" s="129"/>
      <c r="R15" s="139">
        <f t="shared" si="0"/>
        <v>0.71666666666666667</v>
      </c>
      <c r="S15" s="140">
        <f t="shared" si="1"/>
        <v>0.29325000000000001</v>
      </c>
      <c r="T15" s="141">
        <f t="shared" si="2"/>
        <v>0.44966618110511292</v>
      </c>
      <c r="U15" s="142">
        <f t="shared" si="3"/>
        <v>0.38924999999999998</v>
      </c>
    </row>
    <row r="16" spans="2:21" x14ac:dyDescent="0.25">
      <c r="B16" s="116" t="s">
        <v>52</v>
      </c>
      <c r="C16" s="10" t="s">
        <v>81</v>
      </c>
      <c r="D16" s="117" t="s">
        <v>39</v>
      </c>
      <c r="F16" s="123">
        <v>8.6999999999999994E-2</v>
      </c>
      <c r="G16" s="13">
        <v>0.56999999999999995</v>
      </c>
      <c r="H16" s="13">
        <v>1.55</v>
      </c>
      <c r="I16" s="10">
        <v>0.28000000000000003</v>
      </c>
      <c r="J16" s="13">
        <v>1.86</v>
      </c>
      <c r="K16" s="10">
        <v>0.43</v>
      </c>
      <c r="L16" s="10">
        <v>3.0000000000000001E-3</v>
      </c>
      <c r="M16" s="10">
        <v>4.0000000000000001E-3</v>
      </c>
      <c r="N16" s="10">
        <v>3.1E-2</v>
      </c>
      <c r="O16" s="10">
        <v>3.0000000000000001E-3</v>
      </c>
      <c r="P16" s="10" t="s">
        <v>47</v>
      </c>
      <c r="Q16" s="128">
        <v>8.0000000000000004E-4</v>
      </c>
      <c r="R16" s="139">
        <f t="shared" si="0"/>
        <v>0.6140000000000001</v>
      </c>
      <c r="S16" s="140">
        <f t="shared" si="1"/>
        <v>0.26301666666666668</v>
      </c>
      <c r="T16" s="141">
        <f t="shared" si="2"/>
        <v>0.40214573133492071</v>
      </c>
      <c r="U16" s="142">
        <f t="shared" si="3"/>
        <v>0.34704999999999997</v>
      </c>
    </row>
    <row r="17" spans="2:21" x14ac:dyDescent="0.25">
      <c r="B17" s="116" t="s">
        <v>57</v>
      </c>
      <c r="C17" s="10" t="s">
        <v>81</v>
      </c>
      <c r="D17" s="117" t="s">
        <v>39</v>
      </c>
      <c r="F17" s="123">
        <v>8.2000000000000003E-2</v>
      </c>
      <c r="G17" s="13">
        <v>0.7</v>
      </c>
      <c r="H17" s="13">
        <v>1.6</v>
      </c>
      <c r="I17" s="10">
        <v>0.39</v>
      </c>
      <c r="J17" s="13">
        <v>2.2400000000000002</v>
      </c>
      <c r="K17" s="10">
        <v>0.55000000000000004</v>
      </c>
      <c r="L17" s="10">
        <v>6.0000000000000001E-3</v>
      </c>
      <c r="M17" s="10">
        <v>5.0000000000000001E-3</v>
      </c>
      <c r="N17" s="10">
        <v>3.4000000000000002E-2</v>
      </c>
      <c r="O17" s="10">
        <v>6.0000000000000001E-3</v>
      </c>
      <c r="P17" s="10" t="s">
        <v>47</v>
      </c>
      <c r="Q17" s="128">
        <v>6.9999999999999999E-4</v>
      </c>
      <c r="R17" s="139">
        <f t="shared" si="0"/>
        <v>0.68946666666666656</v>
      </c>
      <c r="S17" s="140">
        <f t="shared" si="1"/>
        <v>0.28463333333333335</v>
      </c>
      <c r="T17" s="141">
        <f t="shared" si="2"/>
        <v>0.43601537505010918</v>
      </c>
      <c r="U17" s="142">
        <f t="shared" si="3"/>
        <v>0.37419999999999998</v>
      </c>
    </row>
    <row r="18" spans="2:21" x14ac:dyDescent="0.25">
      <c r="B18" s="116" t="s">
        <v>51</v>
      </c>
      <c r="C18" s="10" t="s">
        <v>81</v>
      </c>
      <c r="D18" s="117" t="s">
        <v>39</v>
      </c>
      <c r="F18" s="123">
        <v>0.09</v>
      </c>
      <c r="G18" s="13">
        <v>0.51</v>
      </c>
      <c r="H18" s="13">
        <v>1.33</v>
      </c>
      <c r="I18" s="10">
        <v>0.51</v>
      </c>
      <c r="J18" s="13">
        <v>2.71</v>
      </c>
      <c r="K18" s="10">
        <v>0.69</v>
      </c>
      <c r="L18" s="10">
        <v>2E-3</v>
      </c>
      <c r="M18" s="10">
        <v>5.0000000000000001E-3</v>
      </c>
      <c r="N18" s="10">
        <v>2.3E-2</v>
      </c>
      <c r="O18" s="10">
        <v>5.0000000000000001E-3</v>
      </c>
      <c r="P18" s="10" t="s">
        <v>47</v>
      </c>
      <c r="Q18" s="128">
        <v>2.9999999999999997E-4</v>
      </c>
      <c r="R18" s="139">
        <f t="shared" si="0"/>
        <v>0.73426666666666662</v>
      </c>
      <c r="S18" s="140">
        <f t="shared" si="1"/>
        <v>0.29301666666666665</v>
      </c>
      <c r="T18" s="141">
        <f t="shared" si="2"/>
        <v>0.47258856288644269</v>
      </c>
      <c r="U18" s="142">
        <f t="shared" si="3"/>
        <v>0.38639999999999997</v>
      </c>
    </row>
    <row r="19" spans="2:21" x14ac:dyDescent="0.25">
      <c r="B19" s="116" t="s">
        <v>53</v>
      </c>
      <c r="C19" s="10" t="s">
        <v>81</v>
      </c>
      <c r="D19" s="117" t="s">
        <v>39</v>
      </c>
      <c r="F19" s="74">
        <v>0.1</v>
      </c>
      <c r="G19" s="13">
        <v>0.54</v>
      </c>
      <c r="H19" s="13">
        <v>1.26</v>
      </c>
      <c r="I19" s="10">
        <v>0.55000000000000004</v>
      </c>
      <c r="J19" s="13">
        <v>2.62</v>
      </c>
      <c r="K19" s="10">
        <v>0.71</v>
      </c>
      <c r="L19" s="10">
        <v>3.0000000000000001E-3</v>
      </c>
      <c r="M19" s="10">
        <v>4.0000000000000001E-3</v>
      </c>
      <c r="N19" s="10">
        <v>2.8000000000000001E-2</v>
      </c>
      <c r="O19" s="10">
        <v>0.01</v>
      </c>
      <c r="P19" s="10" t="s">
        <v>47</v>
      </c>
      <c r="Q19" s="128">
        <v>2.0000000000000001E-4</v>
      </c>
      <c r="R19" s="139">
        <f t="shared" si="0"/>
        <v>0.73913333333333342</v>
      </c>
      <c r="S19" s="140">
        <f t="shared" si="1"/>
        <v>0.30220000000000002</v>
      </c>
      <c r="T19" s="141">
        <f t="shared" si="2"/>
        <v>0.50530006178046893</v>
      </c>
      <c r="U19" s="142">
        <f t="shared" si="3"/>
        <v>0.39140000000000003</v>
      </c>
    </row>
    <row r="20" spans="2:21" x14ac:dyDescent="0.25">
      <c r="B20" s="116" t="s">
        <v>51</v>
      </c>
      <c r="C20" s="10" t="s">
        <v>40</v>
      </c>
      <c r="D20" s="117"/>
      <c r="F20" s="123">
        <v>0.09</v>
      </c>
      <c r="G20" s="13">
        <v>0.56999999999999995</v>
      </c>
      <c r="H20" s="13">
        <v>1.36</v>
      </c>
      <c r="I20" s="10">
        <v>0.5</v>
      </c>
      <c r="J20" s="13">
        <v>2.6</v>
      </c>
      <c r="K20" s="10">
        <v>0.66</v>
      </c>
      <c r="L20" s="10">
        <v>3.0000000000000001E-3</v>
      </c>
      <c r="M20" s="10">
        <v>7.0000000000000001E-3</v>
      </c>
      <c r="N20" s="10"/>
      <c r="O20" s="10"/>
      <c r="P20" s="10"/>
      <c r="Q20" s="128">
        <v>2.0000000000000001E-4</v>
      </c>
      <c r="R20" s="139">
        <f t="shared" si="0"/>
        <v>0.72260000000000002</v>
      </c>
      <c r="S20" s="140">
        <f t="shared" si="1"/>
        <v>0.29063333333333335</v>
      </c>
      <c r="T20" s="141">
        <f t="shared" si="2"/>
        <v>0.4683194488025727</v>
      </c>
      <c r="U20" s="142">
        <f t="shared" si="3"/>
        <v>0.38200000000000006</v>
      </c>
    </row>
    <row r="21" spans="2:21" x14ac:dyDescent="0.25">
      <c r="B21" s="116" t="s">
        <v>53</v>
      </c>
      <c r="C21" s="10" t="s">
        <v>40</v>
      </c>
      <c r="D21" s="77"/>
      <c r="F21" s="74">
        <v>0.11</v>
      </c>
      <c r="G21" s="13">
        <v>0.56000000000000005</v>
      </c>
      <c r="H21" s="13">
        <v>1.29</v>
      </c>
      <c r="I21" s="10">
        <v>0.56999999999999995</v>
      </c>
      <c r="J21" s="13">
        <v>2.44</v>
      </c>
      <c r="K21" s="10">
        <v>0.72</v>
      </c>
      <c r="L21" s="10">
        <v>4.0000000000000001E-3</v>
      </c>
      <c r="M21" s="10">
        <v>7.0000000000000001E-3</v>
      </c>
      <c r="N21" s="113"/>
      <c r="O21" s="113"/>
      <c r="P21" s="113"/>
      <c r="Q21" s="128">
        <v>2.0000000000000001E-4</v>
      </c>
      <c r="R21" s="139">
        <f t="shared" si="0"/>
        <v>0.74646666666666672</v>
      </c>
      <c r="S21" s="140">
        <f t="shared" si="1"/>
        <v>0.31173333333333331</v>
      </c>
      <c r="T21" s="141">
        <f t="shared" si="2"/>
        <v>0.54478050865577654</v>
      </c>
      <c r="U21" s="142">
        <f t="shared" si="3"/>
        <v>0.40050000000000002</v>
      </c>
    </row>
    <row r="22" spans="2:21" ht="6.75" customHeight="1" x14ac:dyDescent="0.25">
      <c r="B22" s="116"/>
      <c r="C22" s="10"/>
      <c r="D22" s="77"/>
      <c r="F22" s="123"/>
      <c r="G22" s="13"/>
      <c r="H22" s="13"/>
      <c r="I22" s="10"/>
      <c r="J22" s="13"/>
      <c r="K22" s="10"/>
      <c r="L22" s="10"/>
      <c r="M22" s="10"/>
      <c r="N22" s="10"/>
      <c r="O22" s="10"/>
      <c r="P22" s="10"/>
      <c r="Q22" s="128"/>
      <c r="R22" s="139"/>
      <c r="S22" s="140"/>
      <c r="T22" s="141"/>
      <c r="U22" s="142"/>
    </row>
    <row r="23" spans="2:21" x14ac:dyDescent="0.25">
      <c r="B23" s="118" t="s">
        <v>67</v>
      </c>
      <c r="C23" s="10" t="s">
        <v>64</v>
      </c>
      <c r="D23" s="77" t="s">
        <v>65</v>
      </c>
      <c r="F23" s="123">
        <v>8.8999999999999996E-2</v>
      </c>
      <c r="G23" s="10">
        <v>0.38</v>
      </c>
      <c r="H23" s="10">
        <v>1.6</v>
      </c>
      <c r="I23" s="10">
        <v>4.2999999999999997E-2</v>
      </c>
      <c r="J23" s="13">
        <v>2.5</v>
      </c>
      <c r="K23" s="10">
        <v>0.98</v>
      </c>
      <c r="L23" s="10">
        <v>3.0000000000000001E-3</v>
      </c>
      <c r="M23" s="10">
        <v>6.0000000000000001E-3</v>
      </c>
      <c r="N23" s="10">
        <v>5.3999999999999999E-2</v>
      </c>
      <c r="O23" s="10">
        <v>0.02</v>
      </c>
      <c r="P23" s="10" t="s">
        <v>47</v>
      </c>
      <c r="Q23" s="128">
        <v>2.0000000000000001E-4</v>
      </c>
      <c r="R23" s="139">
        <f>F23+H23/6+N23/15+J23/15+I23/5+K23/5+L23/5</f>
        <v>0.73113333333333352</v>
      </c>
      <c r="S23" s="140">
        <f>F23+G23/30+H23/20+N23/20+J23/60+I23/20+K23/15+L23/10+5*Q23</f>
        <v>0.29481666666666667</v>
      </c>
      <c r="T23" s="141">
        <f>F23+(0.75+0.25*TANH(20*(F23-0.12)))*(G23/24+H23/6+N23/15+J23/20+I23/5+K23/5+M23/5+L23/5)</f>
        <v>0.46704461059442348</v>
      </c>
      <c r="U23" s="142">
        <f>F23+H23/10+K23/10+I23/20+N23/20+J23/40</f>
        <v>0.41434999999999994</v>
      </c>
    </row>
    <row r="24" spans="2:21" ht="15.75" thickBot="1" x14ac:dyDescent="0.3">
      <c r="B24" s="119" t="s">
        <v>68</v>
      </c>
      <c r="C24" s="63" t="s">
        <v>64</v>
      </c>
      <c r="D24" s="97" t="s">
        <v>65</v>
      </c>
      <c r="E24" s="78"/>
      <c r="F24" s="125">
        <v>0.11</v>
      </c>
      <c r="G24" s="63">
        <v>0.39</v>
      </c>
      <c r="H24" s="63">
        <v>1.7</v>
      </c>
      <c r="I24" s="63">
        <v>3.9E-2</v>
      </c>
      <c r="J24" s="67">
        <v>2.59</v>
      </c>
      <c r="K24" s="63">
        <v>1.05</v>
      </c>
      <c r="L24" s="63">
        <v>3.0000000000000001E-3</v>
      </c>
      <c r="M24" s="63">
        <v>7.0000000000000001E-3</v>
      </c>
      <c r="N24" s="63">
        <v>3.5999999999999997E-2</v>
      </c>
      <c r="O24" s="63">
        <v>2.1000000000000001E-2</v>
      </c>
      <c r="P24" s="63" t="s">
        <v>47</v>
      </c>
      <c r="Q24" s="130">
        <v>2.0000000000000001E-4</v>
      </c>
      <c r="R24" s="143">
        <f>F24+H24/6+N24/15+J24/15+I24/5+K24/5+L24/5</f>
        <v>0.78680000000000005</v>
      </c>
      <c r="S24" s="206">
        <f>F24+G24/30+H24/20+N24/20+J24/60+I24/20+K24/15+L24/10+5*Q24</f>
        <v>0.32621666666666671</v>
      </c>
      <c r="T24" s="207">
        <f>F24+(0.75+0.25*TANH(20*(F24-0.12)))*(G24/24+H24/6+N24/15+J24/20+I24/5+K24/5+M24/5+L24/5)</f>
        <v>0.56632568588154764</v>
      </c>
      <c r="U24" s="144">
        <f>F24+H24/10+K24/10+I24/20+N24/20+J24/40</f>
        <v>0.45350000000000001</v>
      </c>
    </row>
    <row r="25" spans="2:21" x14ac:dyDescent="0.25">
      <c r="R25" s="12"/>
    </row>
    <row r="26" spans="2:21" x14ac:dyDescent="0.25">
      <c r="R26" s="12"/>
    </row>
    <row r="27" spans="2:21" x14ac:dyDescent="0.25">
      <c r="R27" s="12"/>
    </row>
    <row r="28" spans="2:21" x14ac:dyDescent="0.25">
      <c r="R28" s="12"/>
    </row>
    <row r="29" spans="2:21" s="1" customFormat="1" x14ac:dyDescent="0.25">
      <c r="E29"/>
      <c r="F29"/>
      <c r="G29"/>
      <c r="H29"/>
      <c r="I29"/>
      <c r="J29"/>
      <c r="K29"/>
      <c r="L29"/>
      <c r="M29"/>
      <c r="N29"/>
      <c r="O29"/>
      <c r="P29"/>
      <c r="Q29"/>
      <c r="R29" s="12"/>
      <c r="T29"/>
      <c r="U29"/>
    </row>
    <row r="30" spans="2:21" s="1" customFormat="1" x14ac:dyDescent="0.25">
      <c r="E30"/>
      <c r="F30"/>
      <c r="G30"/>
      <c r="H30"/>
      <c r="I30"/>
      <c r="J30"/>
      <c r="K30"/>
      <c r="L30"/>
      <c r="M30"/>
      <c r="N30"/>
      <c r="O30"/>
      <c r="P30"/>
      <c r="Q30"/>
      <c r="R30" s="12"/>
      <c r="T30"/>
      <c r="U30"/>
    </row>
    <row r="31" spans="2:21" s="1" customFormat="1" x14ac:dyDescent="0.25">
      <c r="E31"/>
      <c r="F31"/>
      <c r="G31"/>
      <c r="H31"/>
      <c r="I31"/>
      <c r="J31"/>
      <c r="K31"/>
      <c r="L31"/>
      <c r="M31"/>
      <c r="N31"/>
      <c r="O31"/>
      <c r="P31"/>
      <c r="Q31"/>
      <c r="R31" s="12"/>
      <c r="T31"/>
      <c r="U31"/>
    </row>
    <row r="32" spans="2:21" s="1" customFormat="1" x14ac:dyDescent="0.25">
      <c r="E32"/>
      <c r="F32"/>
      <c r="G32"/>
      <c r="H32"/>
      <c r="I32"/>
      <c r="J32"/>
      <c r="K32"/>
      <c r="L32"/>
      <c r="M32"/>
      <c r="N32"/>
      <c r="O32"/>
      <c r="P32"/>
      <c r="Q32"/>
      <c r="R32" s="12"/>
      <c r="T32"/>
      <c r="U32"/>
    </row>
    <row r="33" spans="5:21" s="1" customFormat="1" x14ac:dyDescent="0.25">
      <c r="E33"/>
      <c r="F33"/>
      <c r="G33"/>
      <c r="H33"/>
      <c r="I33"/>
      <c r="J33"/>
      <c r="K33"/>
      <c r="L33"/>
      <c r="M33"/>
      <c r="N33"/>
      <c r="O33"/>
      <c r="P33"/>
      <c r="Q33"/>
      <c r="R33" s="12"/>
      <c r="T33"/>
      <c r="U33"/>
    </row>
    <row r="34" spans="5:21" s="1" customFormat="1" x14ac:dyDescent="0.25">
      <c r="E34"/>
      <c r="F34"/>
      <c r="G34"/>
      <c r="H34"/>
      <c r="I34"/>
      <c r="J34"/>
      <c r="K34"/>
      <c r="L34"/>
      <c r="M34"/>
      <c r="N34"/>
      <c r="O34"/>
      <c r="P34"/>
      <c r="Q34"/>
      <c r="R34" s="12"/>
      <c r="T34"/>
      <c r="U34"/>
    </row>
    <row r="35" spans="5:21" s="1" customFormat="1" x14ac:dyDescent="0.25">
      <c r="E35"/>
      <c r="F35"/>
      <c r="G35"/>
      <c r="H35"/>
      <c r="I35"/>
      <c r="J35"/>
      <c r="K35"/>
      <c r="L35"/>
      <c r="M35"/>
      <c r="N35"/>
      <c r="O35"/>
      <c r="P35"/>
      <c r="Q35"/>
      <c r="R35" s="12"/>
      <c r="T35"/>
      <c r="U35"/>
    </row>
    <row r="36" spans="5:21" s="1" customFormat="1" x14ac:dyDescent="0.25">
      <c r="E36"/>
      <c r="F36"/>
      <c r="G36"/>
      <c r="H36"/>
      <c r="I36"/>
      <c r="J36"/>
      <c r="K36"/>
      <c r="L36"/>
      <c r="M36"/>
      <c r="N36"/>
      <c r="O36"/>
      <c r="P36"/>
      <c r="Q36"/>
      <c r="R36" s="12"/>
      <c r="T36"/>
      <c r="U36"/>
    </row>
    <row r="37" spans="5:21" s="1" customFormat="1" x14ac:dyDescent="0.25">
      <c r="E37"/>
      <c r="F37"/>
      <c r="G37"/>
      <c r="H37"/>
      <c r="I37"/>
      <c r="J37"/>
      <c r="K37"/>
      <c r="L37"/>
      <c r="M37"/>
      <c r="N37"/>
      <c r="O37"/>
      <c r="P37"/>
      <c r="Q37"/>
      <c r="R37" s="12"/>
      <c r="T37"/>
      <c r="U37"/>
    </row>
    <row r="38" spans="5:21" s="1" customFormat="1" x14ac:dyDescent="0.25">
      <c r="E38"/>
      <c r="F38"/>
      <c r="G38"/>
      <c r="H38"/>
      <c r="I38"/>
      <c r="J38"/>
      <c r="K38"/>
      <c r="L38"/>
      <c r="M38"/>
      <c r="N38"/>
      <c r="O38"/>
      <c r="P38"/>
      <c r="Q38"/>
      <c r="R38" s="12"/>
      <c r="T38"/>
      <c r="U38"/>
    </row>
    <row r="39" spans="5:21" s="1" customFormat="1" x14ac:dyDescent="0.25">
      <c r="E39"/>
      <c r="F39"/>
      <c r="G39"/>
      <c r="H39"/>
      <c r="I39"/>
      <c r="J39"/>
      <c r="K39"/>
      <c r="L39"/>
      <c r="M39"/>
      <c r="N39"/>
      <c r="O39"/>
      <c r="P39"/>
      <c r="Q39"/>
      <c r="R39" s="12"/>
      <c r="T39"/>
      <c r="U39"/>
    </row>
    <row r="40" spans="5:21" s="1" customFormat="1" x14ac:dyDescent="0.25">
      <c r="E40"/>
      <c r="F40"/>
      <c r="G40"/>
      <c r="H40"/>
      <c r="I40"/>
      <c r="J40"/>
      <c r="K40"/>
      <c r="L40"/>
      <c r="M40"/>
      <c r="N40"/>
      <c r="O40"/>
      <c r="P40"/>
      <c r="Q40"/>
      <c r="R40" s="12"/>
      <c r="T40"/>
      <c r="U40"/>
    </row>
  </sheetData>
  <mergeCells count="4">
    <mergeCell ref="B3:D3"/>
    <mergeCell ref="E3:E4"/>
    <mergeCell ref="F3:Q3"/>
    <mergeCell ref="R3:U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1"/>
  <sheetViews>
    <sheetView workbookViewId="0">
      <selection activeCell="N31" sqref="N31"/>
    </sheetView>
  </sheetViews>
  <sheetFormatPr defaultRowHeight="15" x14ac:dyDescent="0.25"/>
  <sheetData>
    <row r="2" spans="2:9" x14ac:dyDescent="0.25">
      <c r="B2" s="29" t="s">
        <v>101</v>
      </c>
    </row>
    <row r="4" spans="2:9" x14ac:dyDescent="0.25">
      <c r="B4" s="29" t="s">
        <v>102</v>
      </c>
    </row>
    <row r="6" spans="2:9" x14ac:dyDescent="0.25">
      <c r="B6" s="29" t="s">
        <v>103</v>
      </c>
    </row>
    <row r="7" spans="2:9" x14ac:dyDescent="0.25">
      <c r="B7" s="88" t="s">
        <v>110</v>
      </c>
    </row>
    <row r="9" spans="2:9" x14ac:dyDescent="0.25">
      <c r="B9" t="s">
        <v>237</v>
      </c>
    </row>
    <row r="11" spans="2:9" ht="15.75" customHeight="1" x14ac:dyDescent="0.25">
      <c r="I11" s="8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W108"/>
  <sheetViews>
    <sheetView topLeftCell="A2" zoomScale="90" zoomScaleNormal="90" workbookViewId="0">
      <pane ySplit="1155" activePane="bottomLeft"/>
      <selection activeCell="J2" sqref="J1:Q1048576"/>
      <selection pane="bottomLeft" activeCell="AZ106" sqref="AZ106"/>
    </sheetView>
  </sheetViews>
  <sheetFormatPr defaultRowHeight="15" x14ac:dyDescent="0.25"/>
  <cols>
    <col min="1" max="1" width="3.140625" customWidth="1"/>
    <col min="2" max="2" width="12.28515625" style="1" customWidth="1"/>
    <col min="3" max="3" width="0" style="1" hidden="1" customWidth="1"/>
    <col min="4" max="4" width="13.42578125" style="1" customWidth="1"/>
    <col min="5" max="5" width="20" style="1" customWidth="1"/>
    <col min="6" max="6" width="9" style="1" hidden="1" customWidth="1"/>
    <col min="7" max="7" width="10.42578125" style="1" hidden="1" customWidth="1"/>
    <col min="8" max="8" width="9.140625" style="1" customWidth="1"/>
    <col min="9" max="9" width="1" hidden="1" customWidth="1"/>
    <col min="10" max="29" width="6.7109375" hidden="1" customWidth="1"/>
    <col min="30" max="30" width="7.5703125" hidden="1" customWidth="1"/>
    <col min="31" max="31" width="8" hidden="1" customWidth="1"/>
    <col min="32" max="32" width="7.5703125" hidden="1" customWidth="1"/>
    <col min="33" max="33" width="7.85546875" hidden="1" customWidth="1"/>
    <col min="34" max="35" width="6.7109375" hidden="1" customWidth="1"/>
    <col min="36" max="36" width="25.140625" hidden="1" customWidth="1"/>
    <col min="37" max="37" width="9.7109375" hidden="1" customWidth="1"/>
    <col min="38" max="38" width="0" style="1" hidden="1" customWidth="1"/>
    <col min="39" max="40" width="0" hidden="1" customWidth="1"/>
    <col min="41" max="41" width="6.5703125" style="1" customWidth="1"/>
    <col min="42" max="42" width="6.140625" style="1" customWidth="1"/>
    <col min="43" max="43" width="6.85546875" style="1" customWidth="1"/>
    <col min="44" max="44" width="8.85546875" style="1" customWidth="1"/>
    <col min="45" max="45" width="6.85546875" style="1" customWidth="1"/>
    <col min="46" max="46" width="6.7109375" style="1" customWidth="1"/>
    <col min="47" max="47" width="1.5703125" customWidth="1"/>
    <col min="48" max="49" width="0" hidden="1" customWidth="1"/>
  </cols>
  <sheetData>
    <row r="2" spans="2:49" ht="15.75" thickBot="1" x14ac:dyDescent="0.3"/>
    <row r="3" spans="2:49" x14ac:dyDescent="0.25">
      <c r="B3" s="434" t="s">
        <v>33</v>
      </c>
      <c r="C3" s="429" t="s">
        <v>32</v>
      </c>
      <c r="D3" s="430"/>
      <c r="E3" s="430"/>
      <c r="F3" s="430"/>
      <c r="G3" s="430"/>
      <c r="H3" s="431"/>
      <c r="I3" s="399"/>
      <c r="J3" s="394" t="s">
        <v>30</v>
      </c>
      <c r="K3" s="394"/>
      <c r="L3" s="394"/>
      <c r="M3" s="394"/>
      <c r="N3" s="394"/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  <c r="AA3" s="394"/>
      <c r="AB3" s="394"/>
      <c r="AC3" s="394"/>
      <c r="AD3" s="394"/>
      <c r="AE3" s="394"/>
      <c r="AF3" s="394"/>
      <c r="AG3" s="394"/>
      <c r="AH3" s="394"/>
      <c r="AI3" s="395"/>
      <c r="AJ3" s="386" t="s">
        <v>108</v>
      </c>
      <c r="AK3" s="388" t="s">
        <v>106</v>
      </c>
      <c r="AL3" s="389"/>
      <c r="AM3" s="389"/>
      <c r="AN3" s="389"/>
      <c r="AO3" s="429" t="s">
        <v>112</v>
      </c>
      <c r="AP3" s="430"/>
      <c r="AQ3" s="430"/>
      <c r="AR3" s="430"/>
      <c r="AS3" s="430"/>
      <c r="AT3" s="431"/>
    </row>
    <row r="4" spans="2:49" ht="19.5" thickBot="1" x14ac:dyDescent="0.4">
      <c r="B4" s="435"/>
      <c r="C4" s="272" t="s">
        <v>29</v>
      </c>
      <c r="D4" s="273" t="s">
        <v>26</v>
      </c>
      <c r="E4" s="273" t="s">
        <v>27</v>
      </c>
      <c r="F4" s="343" t="s">
        <v>35</v>
      </c>
      <c r="G4" s="273" t="s">
        <v>28</v>
      </c>
      <c r="H4" s="274" t="s">
        <v>31</v>
      </c>
      <c r="I4" s="436"/>
      <c r="J4" s="109" t="s">
        <v>0</v>
      </c>
      <c r="K4" s="153" t="s">
        <v>1</v>
      </c>
      <c r="L4" s="153" t="s">
        <v>2</v>
      </c>
      <c r="M4" s="153" t="s">
        <v>3</v>
      </c>
      <c r="N4" s="153" t="s">
        <v>4</v>
      </c>
      <c r="O4" s="153" t="s">
        <v>5</v>
      </c>
      <c r="P4" s="153" t="s">
        <v>6</v>
      </c>
      <c r="Q4" s="153" t="s">
        <v>7</v>
      </c>
      <c r="R4" s="153" t="s">
        <v>8</v>
      </c>
      <c r="S4" s="153" t="s">
        <v>9</v>
      </c>
      <c r="T4" s="153" t="s">
        <v>10</v>
      </c>
      <c r="U4" s="153" t="s">
        <v>11</v>
      </c>
      <c r="V4" s="153" t="s">
        <v>12</v>
      </c>
      <c r="W4" s="153" t="s">
        <v>13</v>
      </c>
      <c r="X4" s="153" t="s">
        <v>14</v>
      </c>
      <c r="Y4" s="153" t="s">
        <v>15</v>
      </c>
      <c r="Z4" s="153" t="s">
        <v>16</v>
      </c>
      <c r="AA4" s="153" t="s">
        <v>17</v>
      </c>
      <c r="AB4" s="153" t="s">
        <v>18</v>
      </c>
      <c r="AC4" s="153" t="s">
        <v>19</v>
      </c>
      <c r="AD4" s="153" t="s">
        <v>20</v>
      </c>
      <c r="AE4" s="153" t="s">
        <v>21</v>
      </c>
      <c r="AF4" s="153" t="s">
        <v>22</v>
      </c>
      <c r="AG4" s="153" t="s">
        <v>23</v>
      </c>
      <c r="AH4" s="153" t="s">
        <v>24</v>
      </c>
      <c r="AI4" s="154" t="s">
        <v>25</v>
      </c>
      <c r="AJ4" s="401"/>
      <c r="AK4" s="35" t="s">
        <v>104</v>
      </c>
      <c r="AL4" s="70" t="s">
        <v>105</v>
      </c>
      <c r="AM4" s="70" t="s">
        <v>107</v>
      </c>
      <c r="AN4" s="89" t="s">
        <v>109</v>
      </c>
      <c r="AO4" s="344" t="s">
        <v>111</v>
      </c>
      <c r="AP4" s="345" t="s">
        <v>1</v>
      </c>
      <c r="AQ4" s="345" t="s">
        <v>2</v>
      </c>
      <c r="AR4" s="345" t="s">
        <v>5</v>
      </c>
      <c r="AS4" s="175" t="s">
        <v>6</v>
      </c>
      <c r="AT4" s="337" t="s">
        <v>7</v>
      </c>
    </row>
    <row r="5" spans="2:49" ht="5.25" customHeight="1" thickBot="1" x14ac:dyDescent="0.3">
      <c r="B5" s="281"/>
      <c r="C5" s="282"/>
      <c r="D5" s="282"/>
      <c r="E5" s="282"/>
      <c r="F5" s="282"/>
      <c r="G5" s="282"/>
      <c r="H5" s="282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2"/>
      <c r="AM5" s="283"/>
      <c r="AN5" s="283"/>
      <c r="AO5" s="282"/>
      <c r="AP5" s="282"/>
      <c r="AQ5" s="282"/>
      <c r="AR5" s="282"/>
      <c r="AS5" s="282"/>
      <c r="AT5" s="338"/>
    </row>
    <row r="6" spans="2:49" hidden="1" x14ac:dyDescent="0.25">
      <c r="B6" s="284" t="s">
        <v>39</v>
      </c>
      <c r="C6" s="284" t="s">
        <v>39</v>
      </c>
      <c r="D6" s="245" t="s">
        <v>41</v>
      </c>
      <c r="E6" s="284" t="s">
        <v>39</v>
      </c>
      <c r="F6" s="245" t="s">
        <v>84</v>
      </c>
      <c r="G6" s="284" t="s">
        <v>39</v>
      </c>
      <c r="H6" s="284" t="s">
        <v>39</v>
      </c>
      <c r="I6" s="285"/>
      <c r="J6" s="286">
        <v>0.15</v>
      </c>
      <c r="K6" s="286">
        <v>0.28000000000000003</v>
      </c>
      <c r="L6" s="286">
        <v>1.1100000000000001</v>
      </c>
      <c r="M6" s="245">
        <v>0.01</v>
      </c>
      <c r="N6" s="245">
        <v>1E-3</v>
      </c>
      <c r="O6" s="245">
        <v>0.28999999999999998</v>
      </c>
      <c r="P6" s="286">
        <v>0.05</v>
      </c>
      <c r="Q6" s="245">
        <v>0.17</v>
      </c>
      <c r="R6" s="245"/>
      <c r="S6" s="245"/>
      <c r="T6" s="245">
        <v>1.0999999999999999E-2</v>
      </c>
      <c r="U6" s="245">
        <v>1E-3</v>
      </c>
      <c r="V6" s="245">
        <v>0.01</v>
      </c>
      <c r="W6" s="245">
        <v>3.4000000000000002E-2</v>
      </c>
      <c r="X6" s="287"/>
      <c r="Y6" s="287">
        <v>8.9999999999999993E-3</v>
      </c>
      <c r="Z6" s="245"/>
      <c r="AA6" s="245"/>
      <c r="AB6" s="245"/>
      <c r="AC6" s="245"/>
      <c r="AD6" s="245">
        <v>1E-3</v>
      </c>
      <c r="AE6" s="288"/>
      <c r="AF6" s="245"/>
      <c r="AG6" s="245"/>
      <c r="AH6" s="287"/>
      <c r="AI6" s="287">
        <v>3.0000000000000001E-3</v>
      </c>
      <c r="AJ6" s="245" t="s">
        <v>89</v>
      </c>
      <c r="AK6" s="286">
        <f>J6+L6/6+V6/15+P6/15+O6/5+Q6/5+T6/5</f>
        <v>0.43320000000000003</v>
      </c>
      <c r="AL6" s="286">
        <f>J6+K6/30+L6/20+V6/20+P6/60+O6/20+Q6/15+T6/10+5*AD6</f>
        <v>0.24809999999999996</v>
      </c>
      <c r="AM6" s="286">
        <f>J6+(0.75+0.25*TANH(20*(J6-0.12)))*(K6/24+L6/6+V6/15+P6/20+O6/5+Q6/5+U6/5+T6/5)</f>
        <v>0.4101794710657638</v>
      </c>
      <c r="AN6" s="289">
        <f>J6+L6/10+Q6/10+O6/20+V6/20+P6/40</f>
        <v>0.29425000000000001</v>
      </c>
      <c r="AO6" s="245"/>
      <c r="AP6" s="245"/>
      <c r="AQ6" s="245"/>
      <c r="AR6" s="245"/>
      <c r="AS6" s="8"/>
      <c r="AT6" s="245"/>
      <c r="AW6" t="s">
        <v>116</v>
      </c>
    </row>
    <row r="7" spans="2:49" hidden="1" x14ac:dyDescent="0.25">
      <c r="B7" s="276" t="s">
        <v>39</v>
      </c>
      <c r="C7" s="276" t="s">
        <v>39</v>
      </c>
      <c r="D7" s="145" t="s">
        <v>41</v>
      </c>
      <c r="E7" s="276" t="s">
        <v>39</v>
      </c>
      <c r="F7" s="145" t="s">
        <v>84</v>
      </c>
      <c r="G7" s="276" t="s">
        <v>39</v>
      </c>
      <c r="H7" s="276" t="s">
        <v>39</v>
      </c>
      <c r="I7" s="290"/>
      <c r="J7" s="147">
        <v>0.14000000000000001</v>
      </c>
      <c r="K7" s="147">
        <v>0.28999999999999998</v>
      </c>
      <c r="L7" s="147">
        <v>1.1499999999999999</v>
      </c>
      <c r="M7" s="145">
        <v>0.01</v>
      </c>
      <c r="N7" s="145">
        <v>1E-3</v>
      </c>
      <c r="O7" s="145">
        <v>0.31</v>
      </c>
      <c r="P7" s="147">
        <v>0.05</v>
      </c>
      <c r="Q7" s="145">
        <v>0.16</v>
      </c>
      <c r="R7" s="145"/>
      <c r="S7" s="145"/>
      <c r="T7" s="145">
        <v>1.0999999999999999E-2</v>
      </c>
      <c r="U7" s="145">
        <v>1E-3</v>
      </c>
      <c r="V7" s="145">
        <v>0.01</v>
      </c>
      <c r="W7" s="145">
        <v>3.4000000000000002E-2</v>
      </c>
      <c r="X7" s="278"/>
      <c r="Y7" s="278">
        <v>8.9999999999999993E-3</v>
      </c>
      <c r="Z7" s="145"/>
      <c r="AA7" s="145"/>
      <c r="AB7" s="145"/>
      <c r="AC7" s="145"/>
      <c r="AD7" s="145">
        <v>1E-3</v>
      </c>
      <c r="AE7" s="291"/>
      <c r="AF7" s="145"/>
      <c r="AG7" s="145"/>
      <c r="AH7" s="278"/>
      <c r="AI7" s="278">
        <v>3.0000000000000001E-3</v>
      </c>
      <c r="AJ7" s="145" t="s">
        <v>89</v>
      </c>
      <c r="AK7" s="147">
        <f t="shared" ref="AK7:AK70" si="0">J7+L7/6+V7/15+P7/15+O7/5+Q7/5+T7/5</f>
        <v>0.43186666666666662</v>
      </c>
      <c r="AL7" s="147">
        <f t="shared" ref="AL7:AL70" si="1">J7+K7/30+L7/20+V7/20+P7/60+O7/20+Q7/15+T7/10+5*AD7</f>
        <v>0.24076666666666663</v>
      </c>
      <c r="AM7" s="147">
        <f t="shared" ref="AM7:AM70" si="2">J7+(0.75+0.25*TANH(20*(J7-0.12)))*(K7/24+L7/6+V7/15+P7/20+O7/5+Q7/5+U7/5+T7/5)</f>
        <v>0.39629871318367854</v>
      </c>
      <c r="AN7" s="292">
        <f t="shared" ref="AN7:AN70" si="3">J7+L7/10+Q7/10+O7/20+V7/20+P7/40</f>
        <v>0.28825000000000001</v>
      </c>
      <c r="AO7" s="145"/>
      <c r="AP7" s="145"/>
      <c r="AQ7" s="145"/>
      <c r="AR7" s="145"/>
      <c r="AS7" s="10"/>
      <c r="AT7" s="145"/>
    </row>
    <row r="8" spans="2:49" hidden="1" x14ac:dyDescent="0.25">
      <c r="B8" s="276" t="s">
        <v>39</v>
      </c>
      <c r="C8" s="276" t="s">
        <v>39</v>
      </c>
      <c r="D8" s="145" t="s">
        <v>41</v>
      </c>
      <c r="E8" s="276" t="s">
        <v>39</v>
      </c>
      <c r="F8" s="145" t="s">
        <v>84</v>
      </c>
      <c r="G8" s="276" t="s">
        <v>39</v>
      </c>
      <c r="H8" s="276" t="s">
        <v>39</v>
      </c>
      <c r="I8" s="290"/>
      <c r="J8" s="293">
        <v>0.14399999999999999</v>
      </c>
      <c r="K8" s="145">
        <v>0.27</v>
      </c>
      <c r="L8" s="145">
        <v>1.1100000000000001</v>
      </c>
      <c r="M8" s="145">
        <v>1.0999999999999999E-2</v>
      </c>
      <c r="N8" s="145" t="s">
        <v>96</v>
      </c>
      <c r="O8" s="145">
        <v>0.28000000000000003</v>
      </c>
      <c r="P8" s="145">
        <v>5.0999999999999997E-2</v>
      </c>
      <c r="Q8" s="145">
        <v>0.16</v>
      </c>
      <c r="R8" s="145" t="s">
        <v>97</v>
      </c>
      <c r="S8" s="145">
        <v>1.4E-2</v>
      </c>
      <c r="T8" s="145">
        <v>1.2E-2</v>
      </c>
      <c r="U8" s="145" t="s">
        <v>97</v>
      </c>
      <c r="V8" s="145">
        <v>8.9999999999999993E-3</v>
      </c>
      <c r="W8" s="145">
        <v>4.4999999999999998E-2</v>
      </c>
      <c r="X8" s="145">
        <v>2E-3</v>
      </c>
      <c r="Y8" s="145">
        <v>8.0000000000000002E-3</v>
      </c>
      <c r="Z8" s="145" t="s">
        <v>50</v>
      </c>
      <c r="AA8" s="145" t="s">
        <v>98</v>
      </c>
      <c r="AB8" s="145" t="s">
        <v>97</v>
      </c>
      <c r="AC8" s="145" t="s">
        <v>97</v>
      </c>
      <c r="AD8" s="291">
        <v>1E-3</v>
      </c>
      <c r="AE8" s="278" t="s">
        <v>97</v>
      </c>
      <c r="AF8" s="291">
        <v>1E-3</v>
      </c>
      <c r="AG8" s="290"/>
      <c r="AH8" s="278">
        <v>1.4E-3</v>
      </c>
      <c r="AI8" s="278">
        <v>2.3E-3</v>
      </c>
      <c r="AJ8" s="145" t="s">
        <v>95</v>
      </c>
      <c r="AK8" s="147">
        <f t="shared" si="0"/>
        <v>0.42340000000000005</v>
      </c>
      <c r="AL8" s="147">
        <f t="shared" si="1"/>
        <v>0.2406666666666667</v>
      </c>
      <c r="AM8" s="147">
        <f>J8+(0.75+0.25*TANH(20*(J8-0.12)))*(K8/24+L8/6+V8/15+P8/20+O8/5+Q8/5+0.005/5+T8/5)</f>
        <v>0.39454191046508624</v>
      </c>
      <c r="AN8" s="292">
        <f t="shared" si="3"/>
        <v>0.28672500000000006</v>
      </c>
      <c r="AO8" s="294"/>
      <c r="AP8" s="294"/>
      <c r="AQ8" s="294"/>
      <c r="AR8" s="145"/>
      <c r="AS8" s="10"/>
      <c r="AT8" s="145"/>
      <c r="AW8" t="s">
        <v>113</v>
      </c>
    </row>
    <row r="9" spans="2:49" hidden="1" x14ac:dyDescent="0.25">
      <c r="B9" s="276" t="s">
        <v>39</v>
      </c>
      <c r="C9" s="276" t="s">
        <v>39</v>
      </c>
      <c r="D9" s="145" t="s">
        <v>42</v>
      </c>
      <c r="E9" s="276" t="s">
        <v>39</v>
      </c>
      <c r="F9" s="145" t="s">
        <v>84</v>
      </c>
      <c r="G9" s="276" t="s">
        <v>39</v>
      </c>
      <c r="H9" s="276" t="s">
        <v>39</v>
      </c>
      <c r="I9" s="290"/>
      <c r="J9" s="147">
        <v>0.16</v>
      </c>
      <c r="K9" s="147">
        <v>0.23</v>
      </c>
      <c r="L9" s="147">
        <v>1.26</v>
      </c>
      <c r="M9" s="145">
        <v>8.0000000000000002E-3</v>
      </c>
      <c r="N9" s="145">
        <v>1E-3</v>
      </c>
      <c r="O9" s="145">
        <v>0.2</v>
      </c>
      <c r="P9" s="279">
        <v>0.05</v>
      </c>
      <c r="Q9" s="145">
        <v>0.60499999999999998</v>
      </c>
      <c r="R9" s="145"/>
      <c r="S9" s="145"/>
      <c r="T9" s="145">
        <v>0.04</v>
      </c>
      <c r="U9" s="145">
        <v>0.15</v>
      </c>
      <c r="V9" s="145">
        <v>0.01</v>
      </c>
      <c r="W9" s="145">
        <v>5.3999999999999999E-2</v>
      </c>
      <c r="X9" s="278"/>
      <c r="Y9" s="278">
        <v>3.0000000000000001E-3</v>
      </c>
      <c r="Z9" s="145"/>
      <c r="AA9" s="145"/>
      <c r="AB9" s="145"/>
      <c r="AC9" s="145"/>
      <c r="AD9" s="145">
        <v>1E-3</v>
      </c>
      <c r="AE9" s="291"/>
      <c r="AF9" s="145"/>
      <c r="AG9" s="145"/>
      <c r="AH9" s="278"/>
      <c r="AI9" s="278">
        <v>3.0000000000000001E-3</v>
      </c>
      <c r="AJ9" s="145" t="s">
        <v>89</v>
      </c>
      <c r="AK9" s="147">
        <f t="shared" si="0"/>
        <v>0.54299999999999993</v>
      </c>
      <c r="AL9" s="147">
        <f t="shared" si="1"/>
        <v>0.29133333333333333</v>
      </c>
      <c r="AM9" s="147">
        <f t="shared" si="2"/>
        <v>0.54632687696511628</v>
      </c>
      <c r="AN9" s="292">
        <f t="shared" si="3"/>
        <v>0.35825000000000001</v>
      </c>
      <c r="AO9" s="145"/>
      <c r="AP9" s="145"/>
      <c r="AQ9" s="145"/>
      <c r="AR9" s="145"/>
      <c r="AS9" s="10"/>
      <c r="AT9" s="145"/>
      <c r="AW9" t="s">
        <v>114</v>
      </c>
    </row>
    <row r="10" spans="2:49" hidden="1" x14ac:dyDescent="0.25">
      <c r="B10" s="276" t="s">
        <v>39</v>
      </c>
      <c r="C10" s="276" t="s">
        <v>39</v>
      </c>
      <c r="D10" s="145" t="s">
        <v>42</v>
      </c>
      <c r="E10" s="276" t="s">
        <v>39</v>
      </c>
      <c r="F10" s="145" t="s">
        <v>84</v>
      </c>
      <c r="G10" s="276" t="s">
        <v>39</v>
      </c>
      <c r="H10" s="276" t="s">
        <v>39</v>
      </c>
      <c r="I10" s="290"/>
      <c r="J10" s="147">
        <v>0.16</v>
      </c>
      <c r="K10" s="147">
        <v>0.23</v>
      </c>
      <c r="L10" s="147">
        <v>1.26</v>
      </c>
      <c r="M10" s="145">
        <v>8.0000000000000002E-3</v>
      </c>
      <c r="N10" s="145">
        <v>1E-3</v>
      </c>
      <c r="O10" s="145">
        <v>0.2</v>
      </c>
      <c r="P10" s="279">
        <v>0.05</v>
      </c>
      <c r="Q10" s="145">
        <v>0.60499999999999998</v>
      </c>
      <c r="R10" s="145"/>
      <c r="S10" s="145"/>
      <c r="T10" s="145">
        <v>0.04</v>
      </c>
      <c r="U10" s="145">
        <v>0.15</v>
      </c>
      <c r="V10" s="145">
        <v>0.01</v>
      </c>
      <c r="W10" s="145">
        <v>5.3999999999999999E-2</v>
      </c>
      <c r="X10" s="278"/>
      <c r="Y10" s="278">
        <v>3.0000000000000001E-3</v>
      </c>
      <c r="Z10" s="145"/>
      <c r="AA10" s="145"/>
      <c r="AB10" s="145"/>
      <c r="AC10" s="145"/>
      <c r="AD10" s="145">
        <v>1E-3</v>
      </c>
      <c r="AE10" s="291"/>
      <c r="AF10" s="145"/>
      <c r="AG10" s="145"/>
      <c r="AH10" s="278"/>
      <c r="AI10" s="278">
        <v>3.0000000000000001E-3</v>
      </c>
      <c r="AJ10" s="145" t="s">
        <v>89</v>
      </c>
      <c r="AK10" s="147">
        <f t="shared" si="0"/>
        <v>0.54299999999999993</v>
      </c>
      <c r="AL10" s="147">
        <f t="shared" si="1"/>
        <v>0.29133333333333333</v>
      </c>
      <c r="AM10" s="147">
        <f t="shared" si="2"/>
        <v>0.54632687696511628</v>
      </c>
      <c r="AN10" s="292">
        <f t="shared" si="3"/>
        <v>0.35825000000000001</v>
      </c>
      <c r="AO10" s="145"/>
      <c r="AP10" s="145"/>
      <c r="AQ10" s="145"/>
      <c r="AR10" s="145"/>
      <c r="AS10" s="10"/>
      <c r="AT10" s="145"/>
      <c r="AW10" t="s">
        <v>115</v>
      </c>
    </row>
    <row r="11" spans="2:49" hidden="1" x14ac:dyDescent="0.25">
      <c r="B11" s="276" t="s">
        <v>39</v>
      </c>
      <c r="C11" s="276" t="s">
        <v>39</v>
      </c>
      <c r="D11" s="145" t="s">
        <v>42</v>
      </c>
      <c r="E11" s="276" t="s">
        <v>39</v>
      </c>
      <c r="F11" s="145" t="s">
        <v>84</v>
      </c>
      <c r="G11" s="276" t="s">
        <v>39</v>
      </c>
      <c r="H11" s="276" t="s">
        <v>39</v>
      </c>
      <c r="I11" s="290"/>
      <c r="J11" s="293">
        <v>0.16900000000000001</v>
      </c>
      <c r="K11" s="145">
        <v>0.21</v>
      </c>
      <c r="L11" s="145">
        <v>1.21</v>
      </c>
      <c r="M11" s="145">
        <v>8.0000000000000002E-3</v>
      </c>
      <c r="N11" s="145" t="s">
        <v>96</v>
      </c>
      <c r="O11" s="145">
        <v>0.19</v>
      </c>
      <c r="P11" s="145">
        <v>4.3999999999999997E-2</v>
      </c>
      <c r="Q11" s="145">
        <v>0.61</v>
      </c>
      <c r="R11" s="145" t="s">
        <v>97</v>
      </c>
      <c r="S11" s="145">
        <v>1.4E-2</v>
      </c>
      <c r="T11" s="145">
        <v>3.7999999999999999E-2</v>
      </c>
      <c r="U11" s="145">
        <v>1.4E-2</v>
      </c>
      <c r="V11" s="145">
        <v>8.0000000000000002E-3</v>
      </c>
      <c r="W11" s="145">
        <v>5.0999999999999997E-2</v>
      </c>
      <c r="X11" s="145">
        <v>2E-3</v>
      </c>
      <c r="Y11" s="278">
        <v>3.0999999999999999E-3</v>
      </c>
      <c r="Z11" s="145" t="s">
        <v>50</v>
      </c>
      <c r="AA11" s="145" t="s">
        <v>98</v>
      </c>
      <c r="AB11" s="145" t="s">
        <v>97</v>
      </c>
      <c r="AC11" s="145" t="s">
        <v>97</v>
      </c>
      <c r="AD11" s="145">
        <v>8.9999999999999998E-4</v>
      </c>
      <c r="AE11" s="278" t="s">
        <v>97</v>
      </c>
      <c r="AF11" s="145">
        <v>6.9999999999999999E-4</v>
      </c>
      <c r="AG11" s="290"/>
      <c r="AH11" s="278">
        <v>1.2999999999999999E-3</v>
      </c>
      <c r="AI11" s="278">
        <v>3.2000000000000002E-3</v>
      </c>
      <c r="AJ11" s="145" t="s">
        <v>95</v>
      </c>
      <c r="AK11" s="147">
        <f t="shared" si="0"/>
        <v>0.5417333333333334</v>
      </c>
      <c r="AL11" s="147">
        <f t="shared" si="1"/>
        <v>0.29610000000000009</v>
      </c>
      <c r="AM11" s="147">
        <f t="shared" si="2"/>
        <v>0.52887210695317921</v>
      </c>
      <c r="AN11" s="292">
        <f t="shared" si="3"/>
        <v>0.36200000000000004</v>
      </c>
      <c r="AO11" s="145"/>
      <c r="AP11" s="145"/>
      <c r="AQ11" s="145"/>
      <c r="AR11" s="145"/>
      <c r="AS11" s="10"/>
      <c r="AT11" s="145"/>
    </row>
    <row r="12" spans="2:49" ht="6.75" hidden="1" customHeight="1" x14ac:dyDescent="0.25">
      <c r="B12" s="145"/>
      <c r="C12" s="145"/>
      <c r="D12" s="276"/>
      <c r="E12" s="145"/>
      <c r="F12" s="145"/>
      <c r="G12" s="145"/>
      <c r="H12" s="145"/>
      <c r="I12" s="290"/>
      <c r="J12" s="278"/>
      <c r="K12" s="147"/>
      <c r="L12" s="147"/>
      <c r="M12" s="145"/>
      <c r="N12" s="145"/>
      <c r="O12" s="145"/>
      <c r="P12" s="279"/>
      <c r="Q12" s="145"/>
      <c r="R12" s="145"/>
      <c r="S12" s="145"/>
      <c r="T12" s="145"/>
      <c r="U12" s="145"/>
      <c r="V12" s="145"/>
      <c r="W12" s="145"/>
      <c r="X12" s="278"/>
      <c r="Y12" s="278"/>
      <c r="Z12" s="145"/>
      <c r="AA12" s="145"/>
      <c r="AB12" s="145"/>
      <c r="AC12" s="145"/>
      <c r="AD12" s="145"/>
      <c r="AE12" s="291"/>
      <c r="AF12" s="145"/>
      <c r="AG12" s="145"/>
      <c r="AH12" s="278"/>
      <c r="AI12" s="278"/>
      <c r="AJ12" s="290"/>
      <c r="AK12" s="147"/>
      <c r="AL12" s="147"/>
      <c r="AM12" s="147"/>
      <c r="AN12" s="292"/>
      <c r="AO12" s="145"/>
      <c r="AP12" s="145"/>
      <c r="AQ12" s="145"/>
      <c r="AR12" s="145"/>
      <c r="AS12" s="10"/>
      <c r="AT12" s="145"/>
    </row>
    <row r="13" spans="2:49" hidden="1" x14ac:dyDescent="0.25">
      <c r="B13" s="145" t="s">
        <v>34</v>
      </c>
      <c r="C13" s="145">
        <v>3488</v>
      </c>
      <c r="D13" s="276" t="s">
        <v>39</v>
      </c>
      <c r="E13" s="145" t="s">
        <v>37</v>
      </c>
      <c r="F13" s="145" t="s">
        <v>36</v>
      </c>
      <c r="G13" s="145" t="s">
        <v>40</v>
      </c>
      <c r="H13" s="145">
        <v>7</v>
      </c>
      <c r="I13" s="290"/>
      <c r="J13" s="278">
        <v>5.2999999999999999E-2</v>
      </c>
      <c r="K13" s="147">
        <v>0.33</v>
      </c>
      <c r="L13" s="147">
        <v>2.2000000000000002</v>
      </c>
      <c r="M13" s="145">
        <v>8.0000000000000002E-3</v>
      </c>
      <c r="N13" s="145">
        <v>5.0000000000000001E-3</v>
      </c>
      <c r="O13" s="145">
        <v>0.51</v>
      </c>
      <c r="P13" s="279">
        <v>3.3</v>
      </c>
      <c r="Q13" s="145">
        <v>0.62</v>
      </c>
      <c r="R13" s="145">
        <v>5.0000000000000001E-3</v>
      </c>
      <c r="S13" s="145">
        <v>1.7000000000000001E-2</v>
      </c>
      <c r="T13" s="145">
        <v>1.6E-2</v>
      </c>
      <c r="U13" s="145">
        <v>8.9999999999999993E-3</v>
      </c>
      <c r="V13" s="145">
        <v>8.9999999999999993E-3</v>
      </c>
      <c r="W13" s="145">
        <v>4.0000000000000001E-3</v>
      </c>
      <c r="X13" s="278">
        <v>2E-3</v>
      </c>
      <c r="Y13" s="278">
        <v>1.2999999999999999E-2</v>
      </c>
      <c r="Z13" s="145" t="s">
        <v>46</v>
      </c>
      <c r="AA13" s="145">
        <v>4.0000000000000001E-3</v>
      </c>
      <c r="AB13" s="145">
        <v>2E-3</v>
      </c>
      <c r="AC13" s="145" t="s">
        <v>47</v>
      </c>
      <c r="AD13" s="145" t="s">
        <v>48</v>
      </c>
      <c r="AE13" s="291">
        <v>4.0000000000000001E-3</v>
      </c>
      <c r="AF13" s="145">
        <v>2.0000000000000001E-4</v>
      </c>
      <c r="AG13" s="145">
        <v>8.9999999999999998E-4</v>
      </c>
      <c r="AH13" s="278">
        <v>2.4E-2</v>
      </c>
      <c r="AI13" s="278">
        <v>0.01</v>
      </c>
      <c r="AJ13" s="432" t="s">
        <v>71</v>
      </c>
      <c r="AK13" s="147">
        <f t="shared" si="0"/>
        <v>0.86946666666666661</v>
      </c>
      <c r="AL13" s="147">
        <f>J13+K13/30+L13/20+V13/20+P13/60+O13/20+Q13/15+T13/10+0.0002</f>
        <v>0.29808333333333331</v>
      </c>
      <c r="AM13" s="147">
        <f t="shared" si="2"/>
        <v>0.46643653401571339</v>
      </c>
      <c r="AN13" s="292">
        <f t="shared" si="3"/>
        <v>0.44345000000000001</v>
      </c>
      <c r="AO13" s="145"/>
      <c r="AP13" s="145"/>
      <c r="AQ13" s="145"/>
      <c r="AR13" s="145"/>
      <c r="AS13" s="10"/>
      <c r="AT13" s="145"/>
    </row>
    <row r="14" spans="2:49" hidden="1" x14ac:dyDescent="0.25">
      <c r="B14" s="145" t="s">
        <v>34</v>
      </c>
      <c r="C14" s="145">
        <v>3489</v>
      </c>
      <c r="D14" s="276" t="s">
        <v>39</v>
      </c>
      <c r="E14" s="145" t="s">
        <v>37</v>
      </c>
      <c r="F14" s="145" t="s">
        <v>36</v>
      </c>
      <c r="G14" s="145" t="s">
        <v>40</v>
      </c>
      <c r="H14" s="145">
        <v>11</v>
      </c>
      <c r="I14" s="290"/>
      <c r="J14" s="278">
        <v>5.6000000000000001E-2</v>
      </c>
      <c r="K14" s="147">
        <v>0.37</v>
      </c>
      <c r="L14" s="147">
        <v>2.2799999999999998</v>
      </c>
      <c r="M14" s="145">
        <v>8.0000000000000002E-3</v>
      </c>
      <c r="N14" s="145">
        <v>5.0000000000000001E-3</v>
      </c>
      <c r="O14" s="145">
        <v>0.53</v>
      </c>
      <c r="P14" s="279">
        <v>3.4</v>
      </c>
      <c r="Q14" s="145">
        <v>0.62</v>
      </c>
      <c r="R14" s="145">
        <v>5.0000000000000001E-3</v>
      </c>
      <c r="S14" s="145">
        <v>1.7000000000000001E-2</v>
      </c>
      <c r="T14" s="145">
        <v>1.6E-2</v>
      </c>
      <c r="U14" s="145">
        <v>8.9999999999999993E-3</v>
      </c>
      <c r="V14" s="145">
        <v>8.9999999999999993E-3</v>
      </c>
      <c r="W14" s="145">
        <v>4.0000000000000001E-3</v>
      </c>
      <c r="X14" s="278">
        <v>2E-3</v>
      </c>
      <c r="Y14" s="278">
        <v>1.4999999999999999E-2</v>
      </c>
      <c r="Z14" s="145" t="s">
        <v>46</v>
      </c>
      <c r="AA14" s="145">
        <v>4.0000000000000001E-3</v>
      </c>
      <c r="AB14" s="145">
        <v>2E-3</v>
      </c>
      <c r="AC14" s="145" t="s">
        <v>47</v>
      </c>
      <c r="AD14" s="145" t="s">
        <v>48</v>
      </c>
      <c r="AE14" s="291">
        <v>4.0000000000000001E-3</v>
      </c>
      <c r="AF14" s="145">
        <v>2.0000000000000001E-4</v>
      </c>
      <c r="AG14" s="145">
        <v>8.9999999999999998E-4</v>
      </c>
      <c r="AH14" s="278">
        <v>2.8000000000000001E-2</v>
      </c>
      <c r="AI14" s="278">
        <v>8.9999999999999993E-3</v>
      </c>
      <c r="AJ14" s="432"/>
      <c r="AK14" s="147">
        <f t="shared" si="0"/>
        <v>0.89646666666666652</v>
      </c>
      <c r="AL14" s="147">
        <f t="shared" ref="AL14:AL16" si="4">J14+K14/30+L14/20+V14/20+P14/60+O14/20+Q14/15+T14/10+0.0002</f>
        <v>0.30908333333333332</v>
      </c>
      <c r="AM14" s="147">
        <f t="shared" si="2"/>
        <v>0.48524782698948454</v>
      </c>
      <c r="AN14" s="292">
        <f t="shared" si="3"/>
        <v>0.45794999999999997</v>
      </c>
      <c r="AO14" s="145"/>
      <c r="AP14" s="145"/>
      <c r="AQ14" s="145"/>
      <c r="AR14" s="145"/>
      <c r="AS14" s="10"/>
      <c r="AT14" s="145"/>
    </row>
    <row r="15" spans="2:49" hidden="1" x14ac:dyDescent="0.25">
      <c r="B15" s="145" t="s">
        <v>34</v>
      </c>
      <c r="C15" s="145">
        <v>3490</v>
      </c>
      <c r="D15" s="276" t="s">
        <v>39</v>
      </c>
      <c r="E15" s="145" t="s">
        <v>38</v>
      </c>
      <c r="F15" s="145" t="s">
        <v>36</v>
      </c>
      <c r="G15" s="145" t="s">
        <v>40</v>
      </c>
      <c r="H15" s="145">
        <v>7</v>
      </c>
      <c r="I15" s="290"/>
      <c r="J15" s="147">
        <v>0.1</v>
      </c>
      <c r="K15" s="147">
        <v>0.4</v>
      </c>
      <c r="L15" s="147">
        <v>0.97</v>
      </c>
      <c r="M15" s="145">
        <v>8.0000000000000002E-3</v>
      </c>
      <c r="N15" s="145">
        <v>2E-3</v>
      </c>
      <c r="O15" s="145">
        <v>0.64</v>
      </c>
      <c r="P15" s="279">
        <v>3.3</v>
      </c>
      <c r="Q15" s="145">
        <v>0.86</v>
      </c>
      <c r="R15" s="145">
        <v>3.0000000000000001E-3</v>
      </c>
      <c r="S15" s="145">
        <v>1.6E-2</v>
      </c>
      <c r="T15" s="145">
        <v>4.0000000000000001E-3</v>
      </c>
      <c r="U15" s="145">
        <v>7.0000000000000001E-3</v>
      </c>
      <c r="V15" s="145">
        <v>1.7000000000000001E-2</v>
      </c>
      <c r="W15" s="145">
        <v>3.0000000000000001E-3</v>
      </c>
      <c r="X15" s="278">
        <v>2E-3</v>
      </c>
      <c r="Y15" s="278">
        <v>1.7999999999999999E-2</v>
      </c>
      <c r="Z15" s="145" t="s">
        <v>46</v>
      </c>
      <c r="AA15" s="145">
        <v>3.0000000000000001E-3</v>
      </c>
      <c r="AB15" s="145">
        <v>1E-3</v>
      </c>
      <c r="AC15" s="145" t="s">
        <v>47</v>
      </c>
      <c r="AD15" s="145" t="s">
        <v>48</v>
      </c>
      <c r="AE15" s="291">
        <v>3.0000000000000001E-3</v>
      </c>
      <c r="AF15" s="145">
        <v>2.0000000000000001E-4</v>
      </c>
      <c r="AG15" s="145">
        <v>6.9999999999999999E-4</v>
      </c>
      <c r="AH15" s="278">
        <v>2.1000000000000001E-2</v>
      </c>
      <c r="AI15" s="278">
        <v>1.0999999999999999E-2</v>
      </c>
      <c r="AJ15" s="432"/>
      <c r="AK15" s="147">
        <f t="shared" si="0"/>
        <v>0.78359999999999996</v>
      </c>
      <c r="AL15" s="147">
        <f t="shared" si="4"/>
        <v>0.30761666666666665</v>
      </c>
      <c r="AM15" s="147">
        <f t="shared" si="2"/>
        <v>0.52357491776873866</v>
      </c>
      <c r="AN15" s="292">
        <f t="shared" si="3"/>
        <v>0.39835000000000009</v>
      </c>
      <c r="AO15" s="145"/>
      <c r="AP15" s="145"/>
      <c r="AQ15" s="145"/>
      <c r="AR15" s="145"/>
      <c r="AS15" s="10"/>
      <c r="AT15" s="145"/>
    </row>
    <row r="16" spans="2:49" hidden="1" x14ac:dyDescent="0.25">
      <c r="B16" s="145" t="s">
        <v>34</v>
      </c>
      <c r="C16" s="145">
        <v>3491</v>
      </c>
      <c r="D16" s="276" t="s">
        <v>39</v>
      </c>
      <c r="E16" s="145" t="s">
        <v>38</v>
      </c>
      <c r="F16" s="145" t="s">
        <v>36</v>
      </c>
      <c r="G16" s="145" t="s">
        <v>40</v>
      </c>
      <c r="H16" s="145">
        <v>11</v>
      </c>
      <c r="I16" s="290"/>
      <c r="J16" s="147">
        <v>0.11</v>
      </c>
      <c r="K16" s="147">
        <v>0.44</v>
      </c>
      <c r="L16" s="147">
        <v>0.98</v>
      </c>
      <c r="M16" s="145">
        <v>8.0000000000000002E-3</v>
      </c>
      <c r="N16" s="145">
        <v>2E-3</v>
      </c>
      <c r="O16" s="145">
        <v>0.63</v>
      </c>
      <c r="P16" s="279">
        <v>3.3</v>
      </c>
      <c r="Q16" s="145">
        <v>0.85</v>
      </c>
      <c r="R16" s="145">
        <v>3.0000000000000001E-3</v>
      </c>
      <c r="S16" s="145">
        <v>1.7000000000000001E-2</v>
      </c>
      <c r="T16" s="145">
        <v>3.0000000000000001E-3</v>
      </c>
      <c r="U16" s="145">
        <v>6.0000000000000001E-3</v>
      </c>
      <c r="V16" s="145">
        <v>1.7000000000000001E-2</v>
      </c>
      <c r="W16" s="145">
        <v>3.0000000000000001E-3</v>
      </c>
      <c r="X16" s="278">
        <v>2E-3</v>
      </c>
      <c r="Y16" s="278">
        <v>2.3E-2</v>
      </c>
      <c r="Z16" s="145" t="s">
        <v>46</v>
      </c>
      <c r="AA16" s="145">
        <v>3.0000000000000001E-3</v>
      </c>
      <c r="AB16" s="145">
        <v>1E-3</v>
      </c>
      <c r="AC16" s="145" t="s">
        <v>47</v>
      </c>
      <c r="AD16" s="145" t="s">
        <v>48</v>
      </c>
      <c r="AE16" s="291">
        <v>2E-3</v>
      </c>
      <c r="AF16" s="145">
        <v>2.0000000000000001E-4</v>
      </c>
      <c r="AG16" s="145">
        <v>6.9999999999999999E-4</v>
      </c>
      <c r="AH16" s="278">
        <v>1.7999999999999999E-2</v>
      </c>
      <c r="AI16" s="278">
        <v>7.0000000000000001E-3</v>
      </c>
      <c r="AJ16" s="432"/>
      <c r="AK16" s="147">
        <f t="shared" si="0"/>
        <v>0.7910666666666667</v>
      </c>
      <c r="AL16" s="147">
        <f t="shared" si="4"/>
        <v>0.31818333333333332</v>
      </c>
      <c r="AM16" s="147">
        <f t="shared" si="2"/>
        <v>0.56234362331570042</v>
      </c>
      <c r="AN16" s="292">
        <f t="shared" si="3"/>
        <v>0.40785000000000005</v>
      </c>
      <c r="AO16" s="145"/>
      <c r="AP16" s="145"/>
      <c r="AQ16" s="145"/>
      <c r="AR16" s="145"/>
      <c r="AS16" s="10"/>
      <c r="AT16" s="145"/>
    </row>
    <row r="17" spans="2:46" ht="6.75" hidden="1" customHeight="1" x14ac:dyDescent="0.25">
      <c r="B17" s="295"/>
      <c r="C17" s="295"/>
      <c r="D17" s="296"/>
      <c r="E17" s="295"/>
      <c r="F17" s="295"/>
      <c r="G17" s="295"/>
      <c r="H17" s="295"/>
      <c r="I17" s="297"/>
      <c r="J17" s="298"/>
      <c r="K17" s="299"/>
      <c r="L17" s="299"/>
      <c r="M17" s="295"/>
      <c r="N17" s="295"/>
      <c r="O17" s="295"/>
      <c r="P17" s="300"/>
      <c r="Q17" s="295"/>
      <c r="R17" s="295"/>
      <c r="S17" s="295"/>
      <c r="T17" s="295"/>
      <c r="U17" s="295"/>
      <c r="V17" s="295"/>
      <c r="W17" s="295"/>
      <c r="X17" s="298"/>
      <c r="Y17" s="298"/>
      <c r="Z17" s="295"/>
      <c r="AA17" s="295"/>
      <c r="AB17" s="295"/>
      <c r="AC17" s="295"/>
      <c r="AD17" s="295"/>
      <c r="AE17" s="301"/>
      <c r="AF17" s="295"/>
      <c r="AG17" s="295"/>
      <c r="AH17" s="298"/>
      <c r="AI17" s="298"/>
      <c r="AJ17" s="297"/>
      <c r="AK17" s="299"/>
      <c r="AL17" s="299"/>
      <c r="AM17" s="299"/>
      <c r="AN17" s="302"/>
      <c r="AO17" s="295"/>
      <c r="AP17" s="295"/>
      <c r="AQ17" s="295"/>
      <c r="AR17" s="295"/>
      <c r="AS17" s="163"/>
      <c r="AT17" s="295"/>
    </row>
    <row r="18" spans="2:46" ht="15" hidden="1" customHeight="1" x14ac:dyDescent="0.25">
      <c r="B18" s="303" t="s">
        <v>34</v>
      </c>
      <c r="C18" s="270">
        <v>3670</v>
      </c>
      <c r="D18" s="270" t="s">
        <v>41</v>
      </c>
      <c r="E18" s="270" t="s">
        <v>37</v>
      </c>
      <c r="F18" s="270" t="s">
        <v>36</v>
      </c>
      <c r="G18" s="270" t="s">
        <v>43</v>
      </c>
      <c r="H18" s="270" t="s">
        <v>44</v>
      </c>
      <c r="I18" s="304"/>
      <c r="J18" s="305">
        <v>6.7000000000000004E-2</v>
      </c>
      <c r="K18" s="306">
        <v>0.39</v>
      </c>
      <c r="L18" s="306">
        <v>2.25</v>
      </c>
      <c r="M18" s="270">
        <v>8.0000000000000002E-3</v>
      </c>
      <c r="N18" s="270">
        <v>4.0000000000000001E-3</v>
      </c>
      <c r="O18" s="270">
        <v>0.49</v>
      </c>
      <c r="P18" s="307">
        <v>3.2</v>
      </c>
      <c r="Q18" s="270">
        <v>0.59</v>
      </c>
      <c r="R18" s="270">
        <v>4.0000000000000001E-3</v>
      </c>
      <c r="S18" s="270">
        <v>1.7000000000000001E-2</v>
      </c>
      <c r="T18" s="270">
        <v>1.6E-2</v>
      </c>
      <c r="U18" s="270">
        <v>1.0999999999999999E-2</v>
      </c>
      <c r="V18" s="270">
        <v>8.0000000000000002E-3</v>
      </c>
      <c r="W18" s="270">
        <v>5.0000000000000001E-3</v>
      </c>
      <c r="X18" s="305">
        <v>2E-3</v>
      </c>
      <c r="Y18" s="305">
        <v>1.6E-2</v>
      </c>
      <c r="Z18" s="270" t="s">
        <v>46</v>
      </c>
      <c r="AA18" s="270">
        <v>4.0000000000000001E-3</v>
      </c>
      <c r="AB18" s="270">
        <v>2E-3</v>
      </c>
      <c r="AC18" s="270" t="s">
        <v>47</v>
      </c>
      <c r="AD18" s="270">
        <v>1E-4</v>
      </c>
      <c r="AE18" s="308">
        <v>4.0000000000000001E-3</v>
      </c>
      <c r="AF18" s="270">
        <v>2.0000000000000001E-4</v>
      </c>
      <c r="AG18" s="270">
        <v>5.9999999999999995E-4</v>
      </c>
      <c r="AH18" s="305">
        <v>0.03</v>
      </c>
      <c r="AI18" s="305">
        <v>1.4E-2</v>
      </c>
      <c r="AJ18" s="433" t="s">
        <v>70</v>
      </c>
      <c r="AK18" s="306">
        <f t="shared" si="0"/>
        <v>0.87506666666666666</v>
      </c>
      <c r="AL18" s="306">
        <f t="shared" si="1"/>
        <v>0.3121666666666667</v>
      </c>
      <c r="AM18" s="306">
        <f t="shared" si="2"/>
        <v>0.49502194964950441</v>
      </c>
      <c r="AN18" s="309">
        <f t="shared" si="3"/>
        <v>0.45590000000000008</v>
      </c>
      <c r="AO18" s="310">
        <f>100*(J18-J13)/(J8-J13)</f>
        <v>15.384615384615392</v>
      </c>
      <c r="AP18" s="310">
        <f t="shared" ref="AP18:AQ18" si="5">100*(K18-K13)/(K8-K13)</f>
        <v>-100</v>
      </c>
      <c r="AQ18" s="310">
        <f t="shared" si="5"/>
        <v>-4.5871559633027355</v>
      </c>
      <c r="AR18" s="310">
        <f>100*(O18-O13)/(O8-O13)</f>
        <v>8.6956521739130519</v>
      </c>
      <c r="AS18" s="165">
        <f t="shared" ref="AS18" si="6">100*(P18-P13)/(P8-P13)</f>
        <v>3.0778701138811835</v>
      </c>
      <c r="AT18" s="339">
        <f>100*(Q18-Q13)/(Q8-Q13)</f>
        <v>6.5217391304347885</v>
      </c>
    </row>
    <row r="19" spans="2:46" hidden="1" x14ac:dyDescent="0.25">
      <c r="B19" s="275" t="s">
        <v>34</v>
      </c>
      <c r="C19" s="145">
        <v>3671</v>
      </c>
      <c r="D19" s="145" t="s">
        <v>41</v>
      </c>
      <c r="E19" s="145" t="s">
        <v>37</v>
      </c>
      <c r="F19" s="145" t="s">
        <v>36</v>
      </c>
      <c r="G19" s="145" t="s">
        <v>43</v>
      </c>
      <c r="H19" s="145">
        <v>7</v>
      </c>
      <c r="I19" s="290"/>
      <c r="J19" s="278">
        <v>6.7000000000000004E-2</v>
      </c>
      <c r="K19" s="147">
        <v>0.36</v>
      </c>
      <c r="L19" s="147">
        <v>2.09</v>
      </c>
      <c r="M19" s="145">
        <v>6.0000000000000001E-3</v>
      </c>
      <c r="N19" s="145">
        <v>4.0000000000000001E-3</v>
      </c>
      <c r="O19" s="145">
        <v>0.51</v>
      </c>
      <c r="P19" s="279">
        <v>3.1</v>
      </c>
      <c r="Q19" s="145">
        <v>0.57999999999999996</v>
      </c>
      <c r="R19" s="145">
        <v>4.0000000000000001E-3</v>
      </c>
      <c r="S19" s="145">
        <v>8.0000000000000002E-3</v>
      </c>
      <c r="T19" s="145">
        <v>1.4E-2</v>
      </c>
      <c r="U19" s="145">
        <v>8.0000000000000002E-3</v>
      </c>
      <c r="V19" s="145">
        <v>1.7999999999999999E-2</v>
      </c>
      <c r="W19" s="145">
        <v>5.0000000000000001E-3</v>
      </c>
      <c r="X19" s="278">
        <v>3.0000000000000001E-3</v>
      </c>
      <c r="Y19" s="278">
        <v>1.4999999999999999E-2</v>
      </c>
      <c r="Z19" s="145" t="s">
        <v>46</v>
      </c>
      <c r="AA19" s="145">
        <v>4.0000000000000001E-3</v>
      </c>
      <c r="AB19" s="145">
        <v>2E-3</v>
      </c>
      <c r="AC19" s="145" t="s">
        <v>47</v>
      </c>
      <c r="AD19" s="145">
        <v>2.0000000000000001E-4</v>
      </c>
      <c r="AE19" s="291">
        <v>4.0000000000000001E-3</v>
      </c>
      <c r="AF19" s="145">
        <v>2.0000000000000001E-4</v>
      </c>
      <c r="AG19" s="145">
        <v>5.0000000000000001E-4</v>
      </c>
      <c r="AH19" s="278">
        <v>1.0999999999999999E-2</v>
      </c>
      <c r="AI19" s="278">
        <v>5.0000000000000001E-3</v>
      </c>
      <c r="AJ19" s="432"/>
      <c r="AK19" s="147">
        <f t="shared" si="0"/>
        <v>0.84399999999999997</v>
      </c>
      <c r="AL19" s="147">
        <f t="shared" si="1"/>
        <v>0.30263333333333337</v>
      </c>
      <c r="AM19" s="147">
        <f t="shared" si="2"/>
        <v>0.47772244854815243</v>
      </c>
      <c r="AN19" s="292">
        <f t="shared" si="3"/>
        <v>0.43790000000000007</v>
      </c>
      <c r="AO19" s="294">
        <f>100*(J19-J13)/(J8-J13)</f>
        <v>15.384615384615392</v>
      </c>
      <c r="AP19" s="294">
        <f t="shared" ref="AP19" si="7">100*(K19-K13)/(K8-K13)</f>
        <v>-49.999999999999957</v>
      </c>
      <c r="AQ19" s="294">
        <f>100*(L19-L13)/(L8-L13)</f>
        <v>10.091743119266084</v>
      </c>
      <c r="AR19" s="294">
        <f>100*(O19-O13)/(O8-O13)</f>
        <v>0</v>
      </c>
      <c r="AS19" s="161">
        <f t="shared" ref="AS19:AT19" si="8">100*(P19-P13)/(P8-P13)</f>
        <v>6.1557402277623803</v>
      </c>
      <c r="AT19" s="340">
        <f t="shared" si="8"/>
        <v>8.6956521739130519</v>
      </c>
    </row>
    <row r="20" spans="2:46" hidden="1" x14ac:dyDescent="0.25">
      <c r="B20" s="275" t="s">
        <v>34</v>
      </c>
      <c r="C20" s="145">
        <v>4790</v>
      </c>
      <c r="D20" s="145" t="s">
        <v>41</v>
      </c>
      <c r="E20" s="145" t="s">
        <v>37</v>
      </c>
      <c r="F20" s="145" t="s">
        <v>36</v>
      </c>
      <c r="G20" s="145" t="s">
        <v>43</v>
      </c>
      <c r="H20" s="145" t="s">
        <v>45</v>
      </c>
      <c r="I20" s="290"/>
      <c r="J20" s="278">
        <v>6.3E-2</v>
      </c>
      <c r="K20" s="147">
        <v>0.34</v>
      </c>
      <c r="L20" s="147">
        <v>2.16</v>
      </c>
      <c r="M20" s="145">
        <v>6.0000000000000001E-3</v>
      </c>
      <c r="N20" s="145">
        <v>4.0000000000000001E-3</v>
      </c>
      <c r="O20" s="145">
        <v>0.53</v>
      </c>
      <c r="P20" s="279">
        <v>3.1</v>
      </c>
      <c r="Q20" s="145">
        <v>0.59</v>
      </c>
      <c r="R20" s="145">
        <v>5.0000000000000001E-3</v>
      </c>
      <c r="S20" s="145">
        <v>8.0000000000000002E-3</v>
      </c>
      <c r="T20" s="145">
        <v>1.4E-2</v>
      </c>
      <c r="U20" s="145">
        <v>8.9999999999999993E-3</v>
      </c>
      <c r="V20" s="145">
        <v>1.9E-2</v>
      </c>
      <c r="W20" s="145">
        <v>5.0000000000000001E-3</v>
      </c>
      <c r="X20" s="278">
        <v>3.0000000000000001E-3</v>
      </c>
      <c r="Y20" s="278">
        <v>1.4E-2</v>
      </c>
      <c r="Z20" s="145" t="s">
        <v>49</v>
      </c>
      <c r="AA20" s="145">
        <v>4.0000000000000001E-3</v>
      </c>
      <c r="AB20" s="145">
        <v>2E-3</v>
      </c>
      <c r="AC20" s="145" t="s">
        <v>50</v>
      </c>
      <c r="AD20" s="145">
        <v>2.0000000000000001E-4</v>
      </c>
      <c r="AE20" s="291">
        <v>3.0000000000000001E-3</v>
      </c>
      <c r="AF20" s="145">
        <v>2.0000000000000001E-4</v>
      </c>
      <c r="AG20" s="145">
        <v>6.9999999999999999E-4</v>
      </c>
      <c r="AH20" s="278">
        <v>2.5000000000000001E-2</v>
      </c>
      <c r="AI20" s="278">
        <v>0.01</v>
      </c>
      <c r="AJ20" s="432"/>
      <c r="AK20" s="147">
        <f t="shared" si="0"/>
        <v>0.85773333333333335</v>
      </c>
      <c r="AL20" s="147">
        <f t="shared" si="1"/>
        <v>0.30318333333333336</v>
      </c>
      <c r="AM20" s="147">
        <f t="shared" si="2"/>
        <v>0.47773313892384639</v>
      </c>
      <c r="AN20" s="292">
        <f t="shared" si="3"/>
        <v>0.44295000000000007</v>
      </c>
      <c r="AO20" s="294">
        <f>100*(J20-J14)/(J8-J14)</f>
        <v>7.9545454545454541</v>
      </c>
      <c r="AP20" s="294">
        <f t="shared" ref="AP20:AQ20" si="9">100*(K20-K14)/(K8-K14)</f>
        <v>29.999999999999979</v>
      </c>
      <c r="AQ20" s="294">
        <f t="shared" si="9"/>
        <v>10.256410256410231</v>
      </c>
      <c r="AR20" s="294">
        <f>100*(O20-O14)/(O8-O14)</f>
        <v>0</v>
      </c>
      <c r="AS20" s="161">
        <f t="shared" ref="AS20:AT20" si="10">100*(P20-P14)/(P8-P14)</f>
        <v>8.9578978799641646</v>
      </c>
      <c r="AT20" s="340">
        <f t="shared" si="10"/>
        <v>6.5217391304347885</v>
      </c>
    </row>
    <row r="21" spans="2:46" hidden="1" x14ac:dyDescent="0.25">
      <c r="B21" s="275" t="s">
        <v>34</v>
      </c>
      <c r="C21" s="145">
        <v>3672</v>
      </c>
      <c r="D21" s="145" t="s">
        <v>42</v>
      </c>
      <c r="E21" s="145" t="s">
        <v>38</v>
      </c>
      <c r="F21" s="145" t="s">
        <v>36</v>
      </c>
      <c r="G21" s="145" t="s">
        <v>43</v>
      </c>
      <c r="H21" s="145" t="s">
        <v>44</v>
      </c>
      <c r="I21" s="290"/>
      <c r="J21" s="147">
        <v>0.11</v>
      </c>
      <c r="K21" s="147">
        <v>0.39</v>
      </c>
      <c r="L21" s="147">
        <v>1.04</v>
      </c>
      <c r="M21" s="145">
        <v>8.0000000000000002E-3</v>
      </c>
      <c r="N21" s="145">
        <v>2E-3</v>
      </c>
      <c r="O21" s="145">
        <v>0.59</v>
      </c>
      <c r="P21" s="279">
        <v>3</v>
      </c>
      <c r="Q21" s="145">
        <v>0.81</v>
      </c>
      <c r="R21" s="145">
        <v>2E-3</v>
      </c>
      <c r="S21" s="145">
        <v>1.6E-2</v>
      </c>
      <c r="T21" s="145">
        <v>7.0000000000000001E-3</v>
      </c>
      <c r="U21" s="145">
        <v>8.9999999999999993E-3</v>
      </c>
      <c r="V21" s="145">
        <v>1.4999999999999999E-2</v>
      </c>
      <c r="W21" s="145">
        <v>6.0000000000000001E-3</v>
      </c>
      <c r="X21" s="278">
        <v>2E-3</v>
      </c>
      <c r="Y21" s="278">
        <v>0.02</v>
      </c>
      <c r="Z21" s="145" t="s">
        <v>46</v>
      </c>
      <c r="AA21" s="145">
        <v>3.0000000000000001E-3</v>
      </c>
      <c r="AB21" s="145">
        <v>1E-3</v>
      </c>
      <c r="AC21" s="145" t="s">
        <v>47</v>
      </c>
      <c r="AD21" s="145">
        <v>2.0000000000000001E-4</v>
      </c>
      <c r="AE21" s="291">
        <v>2.0999999999999999E-3</v>
      </c>
      <c r="AF21" s="145">
        <v>2.9999999999999997E-4</v>
      </c>
      <c r="AG21" s="145">
        <v>5.0000000000000001E-4</v>
      </c>
      <c r="AH21" s="278">
        <v>2.1000000000000001E-2</v>
      </c>
      <c r="AI21" s="278">
        <v>1.2E-2</v>
      </c>
      <c r="AJ21" s="432"/>
      <c r="AK21" s="147">
        <f t="shared" si="0"/>
        <v>0.76573333333333338</v>
      </c>
      <c r="AL21" s="147">
        <f t="shared" si="1"/>
        <v>0.31094999999999995</v>
      </c>
      <c r="AM21" s="147">
        <f t="shared" si="2"/>
        <v>0.54705764120809386</v>
      </c>
      <c r="AN21" s="292">
        <f t="shared" si="3"/>
        <v>0.40024999999999999</v>
      </c>
      <c r="AO21" s="294">
        <f>100*(J21-J15)/(J11-J15)</f>
        <v>14.492753623188397</v>
      </c>
      <c r="AP21" s="294">
        <f t="shared" ref="AP21:AQ21" si="11">100*(K21-K15)/(K11-K15)</f>
        <v>5.263157894736846</v>
      </c>
      <c r="AQ21" s="294">
        <f t="shared" si="11"/>
        <v>29.166666666666693</v>
      </c>
      <c r="AR21" s="294">
        <f>100*(O21-O15)/(O11-O15)</f>
        <v>11.111111111111121</v>
      </c>
      <c r="AS21" s="161">
        <f t="shared" ref="AS21:AT21" si="12">100*(P21-P15)/(P11-P15)</f>
        <v>9.213759213759209</v>
      </c>
      <c r="AT21" s="340">
        <f t="shared" si="12"/>
        <v>19.999999999999972</v>
      </c>
    </row>
    <row r="22" spans="2:46" hidden="1" x14ac:dyDescent="0.25">
      <c r="B22" s="311" t="s">
        <v>34</v>
      </c>
      <c r="C22" s="295">
        <v>3673</v>
      </c>
      <c r="D22" s="295" t="s">
        <v>42</v>
      </c>
      <c r="E22" s="295" t="s">
        <v>38</v>
      </c>
      <c r="F22" s="295" t="s">
        <v>36</v>
      </c>
      <c r="G22" s="295" t="s">
        <v>43</v>
      </c>
      <c r="H22" s="295">
        <v>7</v>
      </c>
      <c r="I22" s="290"/>
      <c r="J22" s="299">
        <v>0.11</v>
      </c>
      <c r="K22" s="299">
        <v>0.4</v>
      </c>
      <c r="L22" s="299">
        <v>0.98</v>
      </c>
      <c r="M22" s="295">
        <v>7.0000000000000001E-3</v>
      </c>
      <c r="N22" s="295">
        <v>2E-3</v>
      </c>
      <c r="O22" s="295">
        <v>0.57999999999999996</v>
      </c>
      <c r="P22" s="300">
        <v>3</v>
      </c>
      <c r="Q22" s="295">
        <v>0.79</v>
      </c>
      <c r="R22" s="145">
        <v>2E-3</v>
      </c>
      <c r="S22" s="145">
        <v>1.6E-2</v>
      </c>
      <c r="T22" s="145">
        <v>6.0000000000000001E-3</v>
      </c>
      <c r="U22" s="145">
        <v>7.0000000000000001E-3</v>
      </c>
      <c r="V22" s="145">
        <v>1.6E-2</v>
      </c>
      <c r="W22" s="145">
        <v>4.0000000000000001E-3</v>
      </c>
      <c r="X22" s="278">
        <v>2E-3</v>
      </c>
      <c r="Y22" s="278">
        <v>1.9E-2</v>
      </c>
      <c r="Z22" s="145" t="s">
        <v>46</v>
      </c>
      <c r="AA22" s="145">
        <v>3.0000000000000001E-3</v>
      </c>
      <c r="AB22" s="145">
        <v>1E-3</v>
      </c>
      <c r="AC22" s="145" t="s">
        <v>47</v>
      </c>
      <c r="AD22" s="145">
        <v>1.2E-4</v>
      </c>
      <c r="AE22" s="291">
        <v>3.0000000000000001E-3</v>
      </c>
      <c r="AF22" s="145">
        <v>2.0000000000000001E-4</v>
      </c>
      <c r="AG22" s="145">
        <v>5.0000000000000001E-4</v>
      </c>
      <c r="AH22" s="278">
        <v>1.9E-2</v>
      </c>
      <c r="AI22" s="278">
        <v>5.0000000000000001E-3</v>
      </c>
      <c r="AJ22" s="432"/>
      <c r="AK22" s="147">
        <f t="shared" si="0"/>
        <v>0.74960000000000004</v>
      </c>
      <c r="AL22" s="147">
        <f t="shared" si="1"/>
        <v>0.30599999999999994</v>
      </c>
      <c r="AM22" s="147">
        <f t="shared" si="2"/>
        <v>0.53576539926916666</v>
      </c>
      <c r="AN22" s="292">
        <f t="shared" si="3"/>
        <v>0.39180000000000009</v>
      </c>
      <c r="AO22" s="294">
        <f>100*(J22-J15)/(J11-J15)</f>
        <v>14.492753623188397</v>
      </c>
      <c r="AP22" s="294">
        <f t="shared" ref="AP22:AQ22" si="13">100*(K22-K15)/(K11-K15)</f>
        <v>0</v>
      </c>
      <c r="AQ22" s="294">
        <f t="shared" si="13"/>
        <v>4.1666666666666705</v>
      </c>
      <c r="AR22" s="294">
        <f>100*(O22-O15)/(O11-O15)</f>
        <v>13.333333333333345</v>
      </c>
      <c r="AS22" s="161">
        <f t="shared" ref="AS22:AT22" si="14">100*(P22-P15)/(P11-P15)</f>
        <v>9.213759213759209</v>
      </c>
      <c r="AT22" s="340">
        <f t="shared" si="14"/>
        <v>27.999999999999979</v>
      </c>
    </row>
    <row r="23" spans="2:46" x14ac:dyDescent="0.25">
      <c r="B23" s="303" t="s">
        <v>34</v>
      </c>
      <c r="C23" s="270">
        <v>4791</v>
      </c>
      <c r="D23" s="270" t="s">
        <v>42</v>
      </c>
      <c r="E23" s="270" t="s">
        <v>38</v>
      </c>
      <c r="F23" s="270" t="s">
        <v>36</v>
      </c>
      <c r="G23" s="270" t="s">
        <v>43</v>
      </c>
      <c r="H23" s="271">
        <v>15</v>
      </c>
      <c r="I23" s="312"/>
      <c r="J23" s="313">
        <v>0.12</v>
      </c>
      <c r="K23" s="306">
        <v>0.37</v>
      </c>
      <c r="L23" s="306">
        <v>0.99</v>
      </c>
      <c r="M23" s="270">
        <v>7.0000000000000001E-3</v>
      </c>
      <c r="N23" s="270">
        <v>2E-3</v>
      </c>
      <c r="O23" s="270">
        <v>0.66</v>
      </c>
      <c r="P23" s="307">
        <v>3</v>
      </c>
      <c r="Q23" s="271">
        <v>0.82</v>
      </c>
      <c r="R23" s="314">
        <v>3.0000000000000001E-3</v>
      </c>
      <c r="S23" s="145">
        <v>1.7000000000000001E-2</v>
      </c>
      <c r="T23" s="145">
        <v>6.0000000000000001E-3</v>
      </c>
      <c r="U23" s="145">
        <v>7.0000000000000001E-3</v>
      </c>
      <c r="V23" s="145">
        <v>1.4999999999999999E-2</v>
      </c>
      <c r="W23" s="145">
        <v>3.0000000000000001E-3</v>
      </c>
      <c r="X23" s="278">
        <v>2E-3</v>
      </c>
      <c r="Y23" s="278">
        <v>1.7000000000000001E-2</v>
      </c>
      <c r="Z23" s="145" t="s">
        <v>49</v>
      </c>
      <c r="AA23" s="145">
        <v>2E-3</v>
      </c>
      <c r="AB23" s="145">
        <v>2E-3</v>
      </c>
      <c r="AC23" s="145" t="s">
        <v>50</v>
      </c>
      <c r="AD23" s="145">
        <v>1E-4</v>
      </c>
      <c r="AE23" s="291">
        <v>1.8E-3</v>
      </c>
      <c r="AF23" s="145">
        <v>1E-4</v>
      </c>
      <c r="AG23" s="145">
        <v>5.0000000000000001E-4</v>
      </c>
      <c r="AH23" s="278">
        <v>1.7999999999999999E-2</v>
      </c>
      <c r="AI23" s="278">
        <v>5.0000000000000001E-3</v>
      </c>
      <c r="AJ23" s="432"/>
      <c r="AK23" s="147">
        <f t="shared" si="0"/>
        <v>0.78320000000000001</v>
      </c>
      <c r="AL23" s="147">
        <f t="shared" si="1"/>
        <v>0.32135000000000002</v>
      </c>
      <c r="AM23" s="147">
        <f t="shared" si="2"/>
        <v>0.5925125</v>
      </c>
      <c r="AN23" s="292">
        <f t="shared" si="3"/>
        <v>0.40974999999999995</v>
      </c>
      <c r="AO23" s="294">
        <f>100*(J23-J16)/(J11-J16)</f>
        <v>16.949152542372872</v>
      </c>
      <c r="AP23" s="294">
        <f t="shared" ref="AP23:AQ23" si="15">100*(K23-K16)/(K11-K16)</f>
        <v>30.434782608695656</v>
      </c>
      <c r="AQ23" s="294">
        <f t="shared" si="15"/>
        <v>4.3478260869565259</v>
      </c>
      <c r="AR23" s="294">
        <f>100*(O23-O16)/(O11-O16)</f>
        <v>-6.8181818181818246</v>
      </c>
      <c r="AS23" s="171">
        <f t="shared" ref="AS23:AT23" si="16">100*(P23-P16)/(P11-P16)</f>
        <v>9.213759213759209</v>
      </c>
      <c r="AT23" s="340">
        <f t="shared" si="16"/>
        <v>12.500000000000012</v>
      </c>
    </row>
    <row r="24" spans="2:46" ht="6.75" hidden="1" customHeight="1" x14ac:dyDescent="0.25">
      <c r="B24" s="275"/>
      <c r="C24" s="145"/>
      <c r="D24" s="276"/>
      <c r="E24" s="145"/>
      <c r="F24" s="145"/>
      <c r="G24" s="145"/>
      <c r="H24" s="151"/>
      <c r="I24" s="312"/>
      <c r="J24" s="146"/>
      <c r="K24" s="147"/>
      <c r="L24" s="147"/>
      <c r="M24" s="145"/>
      <c r="N24" s="145"/>
      <c r="O24" s="145"/>
      <c r="P24" s="279"/>
      <c r="Q24" s="151"/>
      <c r="R24" s="314"/>
      <c r="S24" s="145"/>
      <c r="T24" s="145"/>
      <c r="U24" s="145"/>
      <c r="V24" s="145"/>
      <c r="W24" s="145"/>
      <c r="X24" s="278"/>
      <c r="Y24" s="278"/>
      <c r="Z24" s="145"/>
      <c r="AA24" s="145"/>
      <c r="AB24" s="145"/>
      <c r="AC24" s="145"/>
      <c r="AD24" s="145"/>
      <c r="AE24" s="291"/>
      <c r="AF24" s="145"/>
      <c r="AG24" s="145"/>
      <c r="AH24" s="278"/>
      <c r="AI24" s="278"/>
      <c r="AJ24" s="290"/>
      <c r="AK24" s="147"/>
      <c r="AL24" s="147"/>
      <c r="AM24" s="147"/>
      <c r="AN24" s="292"/>
      <c r="AO24" s="145"/>
      <c r="AP24" s="145"/>
      <c r="AQ24" s="145"/>
      <c r="AR24" s="145"/>
      <c r="AS24" s="172"/>
      <c r="AT24" s="151"/>
    </row>
    <row r="25" spans="2:46" hidden="1" x14ac:dyDescent="0.25">
      <c r="B25" s="275"/>
      <c r="C25" s="145"/>
      <c r="D25" s="276" t="s">
        <v>39</v>
      </c>
      <c r="E25" s="145" t="s">
        <v>52</v>
      </c>
      <c r="F25" s="145" t="s">
        <v>83</v>
      </c>
      <c r="G25" s="145" t="s">
        <v>85</v>
      </c>
      <c r="H25" s="277" t="s">
        <v>39</v>
      </c>
      <c r="I25" s="312"/>
      <c r="J25" s="148">
        <v>0.1</v>
      </c>
      <c r="K25" s="147">
        <v>0.77</v>
      </c>
      <c r="L25" s="147">
        <v>1.86</v>
      </c>
      <c r="M25" s="145">
        <v>1.0999999999999999E-2</v>
      </c>
      <c r="N25" s="145">
        <v>8.9999999999999993E-3</v>
      </c>
      <c r="O25" s="145">
        <v>0.32</v>
      </c>
      <c r="P25" s="147">
        <v>1.85</v>
      </c>
      <c r="Q25" s="151">
        <v>0.45</v>
      </c>
      <c r="R25" s="315"/>
      <c r="S25" s="290"/>
      <c r="T25" s="145">
        <v>0.01</v>
      </c>
      <c r="U25" s="290"/>
      <c r="V25" s="145">
        <v>0.04</v>
      </c>
      <c r="W25" s="145" t="s">
        <v>86</v>
      </c>
      <c r="X25" s="290"/>
      <c r="Y25" s="145" t="s">
        <v>86</v>
      </c>
      <c r="Z25" s="290"/>
      <c r="AA25" s="290"/>
      <c r="AB25" s="290"/>
      <c r="AC25" s="145">
        <v>0.01</v>
      </c>
      <c r="AD25" s="290"/>
      <c r="AE25" s="290"/>
      <c r="AF25" s="290"/>
      <c r="AG25" s="290"/>
      <c r="AH25" s="290"/>
      <c r="AI25" s="290"/>
      <c r="AJ25" s="290"/>
      <c r="AK25" s="147">
        <f t="shared" si="0"/>
        <v>0.69200000000000006</v>
      </c>
      <c r="AL25" s="147">
        <f t="shared" si="1"/>
        <v>0.29850000000000004</v>
      </c>
      <c r="AM25" s="147">
        <f t="shared" si="2"/>
        <v>0.48858631953552201</v>
      </c>
      <c r="AN25" s="292">
        <f t="shared" si="3"/>
        <v>0.39525000000000005</v>
      </c>
      <c r="AO25" s="145"/>
      <c r="AP25" s="145"/>
      <c r="AQ25" s="145"/>
      <c r="AR25" s="145"/>
      <c r="AS25" s="172"/>
      <c r="AT25" s="151"/>
    </row>
    <row r="26" spans="2:46" hidden="1" x14ac:dyDescent="0.25">
      <c r="B26" s="275"/>
      <c r="C26" s="145"/>
      <c r="D26" s="276" t="s">
        <v>39</v>
      </c>
      <c r="E26" s="145" t="s">
        <v>57</v>
      </c>
      <c r="F26" s="145" t="s">
        <v>83</v>
      </c>
      <c r="G26" s="145" t="s">
        <v>85</v>
      </c>
      <c r="H26" s="277" t="s">
        <v>39</v>
      </c>
      <c r="I26" s="312"/>
      <c r="J26" s="146">
        <v>0.08</v>
      </c>
      <c r="K26" s="147">
        <v>0.8</v>
      </c>
      <c r="L26" s="147">
        <v>1.75</v>
      </c>
      <c r="M26" s="278">
        <v>0.01</v>
      </c>
      <c r="N26" s="145">
        <v>3.0000000000000001E-3</v>
      </c>
      <c r="O26" s="145">
        <v>0.41</v>
      </c>
      <c r="P26" s="279">
        <v>2.2200000000000002</v>
      </c>
      <c r="Q26" s="151">
        <v>0.53</v>
      </c>
      <c r="R26" s="315"/>
      <c r="S26" s="290"/>
      <c r="T26" s="145">
        <v>0.01</v>
      </c>
      <c r="U26" s="290"/>
      <c r="V26" s="145">
        <v>0.105</v>
      </c>
      <c r="W26" s="145">
        <v>0.01</v>
      </c>
      <c r="X26" s="290"/>
      <c r="Y26" s="278">
        <v>0.05</v>
      </c>
      <c r="Z26" s="290"/>
      <c r="AA26" s="290"/>
      <c r="AB26" s="290"/>
      <c r="AC26" s="145" t="s">
        <v>86</v>
      </c>
      <c r="AD26" s="290"/>
      <c r="AE26" s="290"/>
      <c r="AF26" s="290"/>
      <c r="AG26" s="290"/>
      <c r="AH26" s="290"/>
      <c r="AI26" s="290"/>
      <c r="AJ26" s="290"/>
      <c r="AK26" s="147">
        <f t="shared" si="0"/>
        <v>0.71666666666666667</v>
      </c>
      <c r="AL26" s="147">
        <f t="shared" si="1"/>
        <v>0.29325000000000001</v>
      </c>
      <c r="AM26" s="147">
        <f t="shared" si="2"/>
        <v>0.44966618110511292</v>
      </c>
      <c r="AN26" s="292">
        <f t="shared" si="3"/>
        <v>0.38924999999999998</v>
      </c>
      <c r="AO26" s="145"/>
      <c r="AP26" s="145"/>
      <c r="AQ26" s="145"/>
      <c r="AR26" s="145"/>
      <c r="AS26" s="172"/>
      <c r="AT26" s="151"/>
    </row>
    <row r="27" spans="2:46" hidden="1" x14ac:dyDescent="0.25">
      <c r="B27" s="275" t="s">
        <v>54</v>
      </c>
      <c r="C27" s="145"/>
      <c r="D27" s="276" t="s">
        <v>39</v>
      </c>
      <c r="E27" s="145" t="s">
        <v>52</v>
      </c>
      <c r="F27" s="145" t="s">
        <v>83</v>
      </c>
      <c r="G27" s="145" t="s">
        <v>81</v>
      </c>
      <c r="H27" s="277" t="s">
        <v>39</v>
      </c>
      <c r="I27" s="312"/>
      <c r="J27" s="146">
        <v>8.6999999999999994E-2</v>
      </c>
      <c r="K27" s="147">
        <v>0.56999999999999995</v>
      </c>
      <c r="L27" s="147">
        <v>1.55</v>
      </c>
      <c r="M27" s="145">
        <v>0.01</v>
      </c>
      <c r="N27" s="145">
        <v>7.0000000000000001E-3</v>
      </c>
      <c r="O27" s="145">
        <v>0.28000000000000003</v>
      </c>
      <c r="P27" s="279">
        <v>1.86</v>
      </c>
      <c r="Q27" s="151">
        <v>0.43</v>
      </c>
      <c r="R27" s="314">
        <v>6.0000000000000001E-3</v>
      </c>
      <c r="S27" s="145">
        <v>5.1000000000000004E-3</v>
      </c>
      <c r="T27" s="145">
        <v>3.0000000000000001E-3</v>
      </c>
      <c r="U27" s="145">
        <v>4.0000000000000001E-3</v>
      </c>
      <c r="V27" s="145">
        <v>3.1E-2</v>
      </c>
      <c r="W27" s="145">
        <v>3.0000000000000001E-3</v>
      </c>
      <c r="X27" s="278">
        <v>3.0000000000000001E-3</v>
      </c>
      <c r="Y27" s="278">
        <v>2E-3</v>
      </c>
      <c r="Z27" s="145" t="s">
        <v>46</v>
      </c>
      <c r="AA27" s="145">
        <v>2E-3</v>
      </c>
      <c r="AB27" s="145">
        <v>2E-3</v>
      </c>
      <c r="AC27" s="145" t="s">
        <v>47</v>
      </c>
      <c r="AD27" s="145">
        <v>8.0000000000000004E-4</v>
      </c>
      <c r="AE27" s="291">
        <v>3.0000000000000001E-3</v>
      </c>
      <c r="AF27" s="145">
        <v>2.0000000000000001E-4</v>
      </c>
      <c r="AG27" s="290"/>
      <c r="AH27" s="145">
        <v>2.4E-2</v>
      </c>
      <c r="AI27" s="278">
        <v>1.6E-2</v>
      </c>
      <c r="AJ27" s="290" t="s">
        <v>87</v>
      </c>
      <c r="AK27" s="147">
        <f t="shared" si="0"/>
        <v>0.6140000000000001</v>
      </c>
      <c r="AL27" s="147">
        <f t="shared" si="1"/>
        <v>0.26301666666666668</v>
      </c>
      <c r="AM27" s="147">
        <f t="shared" si="2"/>
        <v>0.40214573133492071</v>
      </c>
      <c r="AN27" s="292">
        <f t="shared" si="3"/>
        <v>0.34704999999999997</v>
      </c>
      <c r="AO27" s="145"/>
      <c r="AP27" s="145"/>
      <c r="AQ27" s="145"/>
      <c r="AR27" s="145"/>
      <c r="AS27" s="172"/>
      <c r="AT27" s="151"/>
    </row>
    <row r="28" spans="2:46" hidden="1" x14ac:dyDescent="0.25">
      <c r="B28" s="275" t="s">
        <v>54</v>
      </c>
      <c r="C28" s="145"/>
      <c r="D28" s="276" t="s">
        <v>39</v>
      </c>
      <c r="E28" s="145" t="s">
        <v>57</v>
      </c>
      <c r="F28" s="145" t="s">
        <v>83</v>
      </c>
      <c r="G28" s="145" t="s">
        <v>81</v>
      </c>
      <c r="H28" s="277" t="s">
        <v>39</v>
      </c>
      <c r="I28" s="312"/>
      <c r="J28" s="146">
        <v>8.2000000000000003E-2</v>
      </c>
      <c r="K28" s="147">
        <v>0.7</v>
      </c>
      <c r="L28" s="147">
        <v>1.6</v>
      </c>
      <c r="M28" s="145">
        <v>4.0000000000000001E-3</v>
      </c>
      <c r="N28" s="145">
        <v>4.0000000000000001E-3</v>
      </c>
      <c r="O28" s="145">
        <v>0.39</v>
      </c>
      <c r="P28" s="279">
        <v>2.2400000000000002</v>
      </c>
      <c r="Q28" s="151">
        <v>0.55000000000000004</v>
      </c>
      <c r="R28" s="314">
        <v>6.0000000000000001E-3</v>
      </c>
      <c r="S28" s="145">
        <v>8.0000000000000002E-3</v>
      </c>
      <c r="T28" s="145">
        <v>6.0000000000000001E-3</v>
      </c>
      <c r="U28" s="145">
        <v>5.0000000000000001E-3</v>
      </c>
      <c r="V28" s="145">
        <v>3.4000000000000002E-2</v>
      </c>
      <c r="W28" s="145">
        <v>6.0000000000000001E-3</v>
      </c>
      <c r="X28" s="278">
        <v>4.0000000000000001E-3</v>
      </c>
      <c r="Y28" s="278">
        <v>2.1000000000000001E-2</v>
      </c>
      <c r="Z28" s="145" t="s">
        <v>46</v>
      </c>
      <c r="AA28" s="145">
        <v>3.0000000000000001E-3</v>
      </c>
      <c r="AB28" s="145">
        <v>2E-3</v>
      </c>
      <c r="AC28" s="145" t="s">
        <v>47</v>
      </c>
      <c r="AD28" s="145">
        <v>6.9999999999999999E-4</v>
      </c>
      <c r="AE28" s="291">
        <v>4.0000000000000001E-3</v>
      </c>
      <c r="AF28" s="145">
        <v>1E-4</v>
      </c>
      <c r="AG28" s="290"/>
      <c r="AH28" s="145">
        <v>2.5999999999999999E-2</v>
      </c>
      <c r="AI28" s="278">
        <v>1.0999999999999999E-2</v>
      </c>
      <c r="AJ28" s="290" t="s">
        <v>87</v>
      </c>
      <c r="AK28" s="147">
        <f t="shared" si="0"/>
        <v>0.68946666666666656</v>
      </c>
      <c r="AL28" s="147">
        <f t="shared" si="1"/>
        <v>0.28463333333333335</v>
      </c>
      <c r="AM28" s="147">
        <f t="shared" si="2"/>
        <v>0.43601537505010918</v>
      </c>
      <c r="AN28" s="292">
        <f t="shared" si="3"/>
        <v>0.37419999999999998</v>
      </c>
      <c r="AO28" s="145"/>
      <c r="AP28" s="145"/>
      <c r="AQ28" s="145"/>
      <c r="AR28" s="145"/>
      <c r="AS28" s="172"/>
      <c r="AT28" s="151"/>
    </row>
    <row r="29" spans="2:46" hidden="1" x14ac:dyDescent="0.25">
      <c r="B29" s="275" t="s">
        <v>54</v>
      </c>
      <c r="C29" s="145"/>
      <c r="D29" s="276" t="s">
        <v>39</v>
      </c>
      <c r="E29" s="145" t="s">
        <v>51</v>
      </c>
      <c r="F29" s="145" t="s">
        <v>83</v>
      </c>
      <c r="G29" s="145" t="s">
        <v>81</v>
      </c>
      <c r="H29" s="277" t="s">
        <v>39</v>
      </c>
      <c r="I29" s="312"/>
      <c r="J29" s="146">
        <v>0.09</v>
      </c>
      <c r="K29" s="147">
        <v>0.51</v>
      </c>
      <c r="L29" s="147">
        <v>1.33</v>
      </c>
      <c r="M29" s="145">
        <v>0.01</v>
      </c>
      <c r="N29" s="145">
        <v>1.2E-2</v>
      </c>
      <c r="O29" s="145">
        <v>0.51</v>
      </c>
      <c r="P29" s="279">
        <v>2.71</v>
      </c>
      <c r="Q29" s="151">
        <v>0.69</v>
      </c>
      <c r="R29" s="314">
        <v>4.0000000000000001E-3</v>
      </c>
      <c r="S29" s="145">
        <v>7.0000000000000001E-3</v>
      </c>
      <c r="T29" s="145">
        <v>2E-3</v>
      </c>
      <c r="U29" s="145">
        <v>5.0000000000000001E-3</v>
      </c>
      <c r="V29" s="145">
        <v>2.3E-2</v>
      </c>
      <c r="W29" s="145">
        <v>5.0000000000000001E-3</v>
      </c>
      <c r="X29" s="278">
        <v>2E-3</v>
      </c>
      <c r="Y29" s="278">
        <v>7.0000000000000001E-3</v>
      </c>
      <c r="Z29" s="145" t="s">
        <v>46</v>
      </c>
      <c r="AA29" s="145">
        <v>3.0000000000000001E-3</v>
      </c>
      <c r="AB29" s="145">
        <v>2E-3</v>
      </c>
      <c r="AC29" s="145" t="s">
        <v>47</v>
      </c>
      <c r="AD29" s="145">
        <v>2.9999999999999997E-4</v>
      </c>
      <c r="AE29" s="291">
        <v>3.0000000000000001E-3</v>
      </c>
      <c r="AF29" s="145">
        <v>5.0000000000000001E-4</v>
      </c>
      <c r="AG29" s="290"/>
      <c r="AH29" s="145">
        <v>2.7E-2</v>
      </c>
      <c r="AI29" s="278">
        <v>4.0000000000000001E-3</v>
      </c>
      <c r="AJ29" s="290" t="s">
        <v>87</v>
      </c>
      <c r="AK29" s="147">
        <f t="shared" si="0"/>
        <v>0.73426666666666662</v>
      </c>
      <c r="AL29" s="147">
        <f t="shared" si="1"/>
        <v>0.29301666666666665</v>
      </c>
      <c r="AM29" s="147">
        <f t="shared" si="2"/>
        <v>0.47258856288644269</v>
      </c>
      <c r="AN29" s="292">
        <f t="shared" si="3"/>
        <v>0.38639999999999997</v>
      </c>
      <c r="AO29" s="145"/>
      <c r="AP29" s="145"/>
      <c r="AQ29" s="145"/>
      <c r="AR29" s="145"/>
      <c r="AS29" s="172"/>
      <c r="AT29" s="151"/>
    </row>
    <row r="30" spans="2:46" hidden="1" x14ac:dyDescent="0.25">
      <c r="B30" s="275" t="s">
        <v>54</v>
      </c>
      <c r="C30" s="145"/>
      <c r="D30" s="276" t="s">
        <v>39</v>
      </c>
      <c r="E30" s="145" t="s">
        <v>53</v>
      </c>
      <c r="F30" s="145" t="s">
        <v>83</v>
      </c>
      <c r="G30" s="145" t="s">
        <v>81</v>
      </c>
      <c r="H30" s="277" t="s">
        <v>39</v>
      </c>
      <c r="I30" s="312"/>
      <c r="J30" s="148">
        <v>0.1</v>
      </c>
      <c r="K30" s="147">
        <v>0.54</v>
      </c>
      <c r="L30" s="147">
        <v>1.26</v>
      </c>
      <c r="M30" s="145">
        <v>0.01</v>
      </c>
      <c r="N30" s="145">
        <v>8.0000000000000002E-3</v>
      </c>
      <c r="O30" s="145">
        <v>0.55000000000000004</v>
      </c>
      <c r="P30" s="279">
        <v>2.62</v>
      </c>
      <c r="Q30" s="151">
        <v>0.71</v>
      </c>
      <c r="R30" s="314">
        <v>5.0000000000000001E-3</v>
      </c>
      <c r="S30" s="145">
        <v>8.0000000000000002E-3</v>
      </c>
      <c r="T30" s="145">
        <v>3.0000000000000001E-3</v>
      </c>
      <c r="U30" s="145">
        <v>4.0000000000000001E-3</v>
      </c>
      <c r="V30" s="145">
        <v>2.8000000000000001E-2</v>
      </c>
      <c r="W30" s="145">
        <v>0.01</v>
      </c>
      <c r="X30" s="278">
        <v>3.0000000000000001E-3</v>
      </c>
      <c r="Y30" s="278">
        <v>1.2E-2</v>
      </c>
      <c r="Z30" s="145" t="s">
        <v>46</v>
      </c>
      <c r="AA30" s="145">
        <v>3.0000000000000001E-3</v>
      </c>
      <c r="AB30" s="145">
        <v>2E-3</v>
      </c>
      <c r="AC30" s="145" t="s">
        <v>47</v>
      </c>
      <c r="AD30" s="145">
        <v>2.0000000000000001E-4</v>
      </c>
      <c r="AE30" s="291">
        <v>3.0000000000000001E-3</v>
      </c>
      <c r="AF30" s="145">
        <v>6.9999999999999999E-4</v>
      </c>
      <c r="AG30" s="290"/>
      <c r="AH30" s="145">
        <v>2.8000000000000001E-2</v>
      </c>
      <c r="AI30" s="278">
        <v>5.0000000000000001E-3</v>
      </c>
      <c r="AJ30" s="290" t="s">
        <v>87</v>
      </c>
      <c r="AK30" s="147">
        <f t="shared" si="0"/>
        <v>0.73913333333333342</v>
      </c>
      <c r="AL30" s="147">
        <f t="shared" si="1"/>
        <v>0.30220000000000002</v>
      </c>
      <c r="AM30" s="147">
        <f t="shared" si="2"/>
        <v>0.50530006178046893</v>
      </c>
      <c r="AN30" s="292">
        <f t="shared" si="3"/>
        <v>0.39140000000000003</v>
      </c>
      <c r="AO30" s="145"/>
      <c r="AP30" s="145"/>
      <c r="AQ30" s="145"/>
      <c r="AR30" s="145"/>
      <c r="AS30" s="172"/>
      <c r="AT30" s="151"/>
    </row>
    <row r="31" spans="2:46" hidden="1" x14ac:dyDescent="0.25">
      <c r="B31" s="275" t="s">
        <v>54</v>
      </c>
      <c r="C31" s="145"/>
      <c r="D31" s="276" t="s">
        <v>39</v>
      </c>
      <c r="E31" s="145" t="s">
        <v>51</v>
      </c>
      <c r="F31" s="145" t="s">
        <v>83</v>
      </c>
      <c r="G31" s="145" t="s">
        <v>40</v>
      </c>
      <c r="H31" s="277"/>
      <c r="I31" s="312"/>
      <c r="J31" s="146">
        <v>0.09</v>
      </c>
      <c r="K31" s="147">
        <v>0.56999999999999995</v>
      </c>
      <c r="L31" s="147">
        <v>1.36</v>
      </c>
      <c r="M31" s="145">
        <v>8.9999999999999993E-3</v>
      </c>
      <c r="N31" s="145">
        <v>8.9999999999999993E-3</v>
      </c>
      <c r="O31" s="145">
        <v>0.5</v>
      </c>
      <c r="P31" s="279">
        <v>2.6</v>
      </c>
      <c r="Q31" s="151">
        <v>0.66</v>
      </c>
      <c r="R31" s="314"/>
      <c r="S31" s="145"/>
      <c r="T31" s="145">
        <v>3.0000000000000001E-3</v>
      </c>
      <c r="U31" s="145">
        <v>7.0000000000000001E-3</v>
      </c>
      <c r="V31" s="145"/>
      <c r="W31" s="145"/>
      <c r="X31" s="278"/>
      <c r="Y31" s="278"/>
      <c r="Z31" s="145"/>
      <c r="AA31" s="145"/>
      <c r="AB31" s="145"/>
      <c r="AC31" s="145"/>
      <c r="AD31" s="145">
        <v>2.0000000000000001E-4</v>
      </c>
      <c r="AE31" s="291"/>
      <c r="AF31" s="145"/>
      <c r="AG31" s="290"/>
      <c r="AH31" s="145">
        <v>2.1000000000000001E-2</v>
      </c>
      <c r="AI31" s="145">
        <v>4.0000000000000001E-3</v>
      </c>
      <c r="AJ31" s="290"/>
      <c r="AK31" s="147">
        <f t="shared" si="0"/>
        <v>0.72260000000000002</v>
      </c>
      <c r="AL31" s="147">
        <f t="shared" si="1"/>
        <v>0.29063333333333335</v>
      </c>
      <c r="AM31" s="147">
        <f t="shared" si="2"/>
        <v>0.4683194488025727</v>
      </c>
      <c r="AN31" s="292">
        <f t="shared" si="3"/>
        <v>0.38200000000000006</v>
      </c>
      <c r="AO31" s="145"/>
      <c r="AP31" s="145"/>
      <c r="AQ31" s="145"/>
      <c r="AR31" s="145"/>
      <c r="AS31" s="172"/>
      <c r="AT31" s="151"/>
    </row>
    <row r="32" spans="2:46" hidden="1" x14ac:dyDescent="0.25">
      <c r="B32" s="275" t="s">
        <v>54</v>
      </c>
      <c r="C32" s="145"/>
      <c r="D32" s="276" t="s">
        <v>39</v>
      </c>
      <c r="E32" s="145" t="s">
        <v>53</v>
      </c>
      <c r="F32" s="145" t="s">
        <v>83</v>
      </c>
      <c r="G32" s="145" t="s">
        <v>40</v>
      </c>
      <c r="H32" s="151"/>
      <c r="I32" s="312"/>
      <c r="J32" s="148">
        <v>0.11</v>
      </c>
      <c r="K32" s="147">
        <v>0.56000000000000005</v>
      </c>
      <c r="L32" s="147">
        <v>1.29</v>
      </c>
      <c r="M32" s="145">
        <v>0.01</v>
      </c>
      <c r="N32" s="145">
        <v>0.01</v>
      </c>
      <c r="O32" s="145">
        <v>0.56999999999999995</v>
      </c>
      <c r="P32" s="279">
        <v>2.44</v>
      </c>
      <c r="Q32" s="151">
        <v>0.72</v>
      </c>
      <c r="R32" s="315"/>
      <c r="S32" s="290"/>
      <c r="T32" s="145">
        <v>4.0000000000000001E-3</v>
      </c>
      <c r="U32" s="145">
        <v>7.0000000000000001E-3</v>
      </c>
      <c r="V32" s="290"/>
      <c r="W32" s="290"/>
      <c r="X32" s="290"/>
      <c r="Y32" s="290"/>
      <c r="Z32" s="290"/>
      <c r="AA32" s="290"/>
      <c r="AB32" s="290"/>
      <c r="AC32" s="290"/>
      <c r="AD32" s="145">
        <v>2.0000000000000001E-4</v>
      </c>
      <c r="AE32" s="290"/>
      <c r="AF32" s="290"/>
      <c r="AG32" s="290"/>
      <c r="AH32" s="145">
        <v>2.1999999999999999E-2</v>
      </c>
      <c r="AI32" s="145">
        <v>3.0000000000000001E-3</v>
      </c>
      <c r="AJ32" s="290"/>
      <c r="AK32" s="147">
        <f t="shared" si="0"/>
        <v>0.74646666666666672</v>
      </c>
      <c r="AL32" s="147">
        <f>J32+K32/30+L32/20+V32/20+P32/60+O32/20+Q32/15+T32/10+5*AD32</f>
        <v>0.31173333333333331</v>
      </c>
      <c r="AM32" s="147">
        <f t="shared" si="2"/>
        <v>0.54478050865577654</v>
      </c>
      <c r="AN32" s="292">
        <f t="shared" si="3"/>
        <v>0.40050000000000002</v>
      </c>
      <c r="AO32" s="145"/>
      <c r="AP32" s="145"/>
      <c r="AQ32" s="145"/>
      <c r="AR32" s="145"/>
      <c r="AS32" s="172"/>
      <c r="AT32" s="151"/>
    </row>
    <row r="33" spans="2:48" ht="6.75" hidden="1" customHeight="1" x14ac:dyDescent="0.25">
      <c r="B33" s="275"/>
      <c r="C33" s="145"/>
      <c r="D33" s="276"/>
      <c r="E33" s="145"/>
      <c r="F33" s="145"/>
      <c r="G33" s="145"/>
      <c r="H33" s="151"/>
      <c r="I33" s="312"/>
      <c r="J33" s="146"/>
      <c r="K33" s="147"/>
      <c r="L33" s="147"/>
      <c r="M33" s="145"/>
      <c r="N33" s="145"/>
      <c r="O33" s="145"/>
      <c r="P33" s="279"/>
      <c r="Q33" s="151"/>
      <c r="R33" s="314"/>
      <c r="S33" s="145"/>
      <c r="T33" s="145"/>
      <c r="U33" s="145"/>
      <c r="V33" s="145"/>
      <c r="W33" s="145"/>
      <c r="X33" s="278"/>
      <c r="Y33" s="278"/>
      <c r="Z33" s="145"/>
      <c r="AA33" s="145"/>
      <c r="AB33" s="145"/>
      <c r="AC33" s="145"/>
      <c r="AD33" s="145"/>
      <c r="AE33" s="291"/>
      <c r="AF33" s="145"/>
      <c r="AG33" s="145"/>
      <c r="AH33" s="278"/>
      <c r="AI33" s="278"/>
      <c r="AJ33" s="290"/>
      <c r="AK33" s="147"/>
      <c r="AL33" s="147"/>
      <c r="AM33" s="147"/>
      <c r="AN33" s="292"/>
      <c r="AO33" s="145"/>
      <c r="AP33" s="145"/>
      <c r="AQ33" s="145"/>
      <c r="AR33" s="145"/>
      <c r="AS33" s="172"/>
      <c r="AT33" s="151"/>
    </row>
    <row r="34" spans="2:48" hidden="1" x14ac:dyDescent="0.25">
      <c r="B34" s="275" t="s">
        <v>54</v>
      </c>
      <c r="C34" s="145">
        <v>4361</v>
      </c>
      <c r="D34" s="145" t="s">
        <v>41</v>
      </c>
      <c r="E34" s="145" t="s">
        <v>52</v>
      </c>
      <c r="F34" s="145" t="s">
        <v>83</v>
      </c>
      <c r="G34" s="145" t="s">
        <v>43</v>
      </c>
      <c r="H34" s="151" t="s">
        <v>55</v>
      </c>
      <c r="I34" s="312"/>
      <c r="J34" s="316" t="s">
        <v>99</v>
      </c>
      <c r="K34" s="290"/>
      <c r="L34" s="290"/>
      <c r="M34" s="290"/>
      <c r="N34" s="290"/>
      <c r="O34" s="290"/>
      <c r="P34" s="290"/>
      <c r="Q34" s="317"/>
      <c r="R34" s="315"/>
      <c r="S34" s="290"/>
      <c r="T34" s="290"/>
      <c r="U34" s="290"/>
      <c r="V34" s="290"/>
      <c r="W34" s="290"/>
      <c r="X34" s="290"/>
      <c r="Y34" s="290"/>
      <c r="Z34" s="290"/>
      <c r="AA34" s="290"/>
      <c r="AB34" s="290"/>
      <c r="AC34" s="290"/>
      <c r="AD34" s="290"/>
      <c r="AE34" s="290"/>
      <c r="AF34" s="290"/>
      <c r="AG34" s="290"/>
      <c r="AH34" s="290"/>
      <c r="AI34" s="290"/>
      <c r="AJ34" s="290"/>
      <c r="AK34" s="147"/>
      <c r="AL34" s="147"/>
      <c r="AM34" s="147"/>
      <c r="AN34" s="292"/>
      <c r="AO34" s="145"/>
      <c r="AP34" s="145"/>
      <c r="AQ34" s="145"/>
      <c r="AR34" s="145"/>
      <c r="AS34" s="172"/>
      <c r="AT34" s="151"/>
    </row>
    <row r="35" spans="2:48" hidden="1" x14ac:dyDescent="0.25">
      <c r="B35" s="275" t="s">
        <v>54</v>
      </c>
      <c r="C35" s="145">
        <v>4362</v>
      </c>
      <c r="D35" s="145" t="s">
        <v>41</v>
      </c>
      <c r="E35" s="145" t="s">
        <v>52</v>
      </c>
      <c r="F35" s="145" t="s">
        <v>83</v>
      </c>
      <c r="G35" s="145" t="s">
        <v>43</v>
      </c>
      <c r="H35" s="151" t="s">
        <v>56</v>
      </c>
      <c r="I35" s="312"/>
      <c r="J35" s="316" t="s">
        <v>99</v>
      </c>
      <c r="K35" s="290"/>
      <c r="L35" s="290"/>
      <c r="M35" s="290"/>
      <c r="N35" s="290"/>
      <c r="O35" s="290"/>
      <c r="P35" s="290"/>
      <c r="Q35" s="317"/>
      <c r="R35" s="315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0"/>
      <c r="AH35" s="290"/>
      <c r="AI35" s="290"/>
      <c r="AJ35" s="290"/>
      <c r="AK35" s="147"/>
      <c r="AL35" s="147"/>
      <c r="AM35" s="147"/>
      <c r="AN35" s="292"/>
      <c r="AO35" s="145"/>
      <c r="AP35" s="145"/>
      <c r="AQ35" s="145"/>
      <c r="AR35" s="145"/>
      <c r="AS35" s="172"/>
      <c r="AT35" s="151"/>
    </row>
    <row r="36" spans="2:48" hidden="1" x14ac:dyDescent="0.25">
      <c r="B36" s="275" t="s">
        <v>54</v>
      </c>
      <c r="C36" s="145">
        <v>4363</v>
      </c>
      <c r="D36" s="145" t="s">
        <v>42</v>
      </c>
      <c r="E36" s="145" t="s">
        <v>57</v>
      </c>
      <c r="F36" s="145" t="s">
        <v>83</v>
      </c>
      <c r="G36" s="145" t="s">
        <v>43</v>
      </c>
      <c r="H36" s="151" t="s">
        <v>55</v>
      </c>
      <c r="I36" s="312"/>
      <c r="J36" s="275">
        <v>0.121</v>
      </c>
      <c r="K36" s="145">
        <v>0.57999999999999996</v>
      </c>
      <c r="L36" s="145">
        <v>1.56</v>
      </c>
      <c r="M36" s="145">
        <v>4.0000000000000001E-3</v>
      </c>
      <c r="N36" s="145">
        <v>3.0000000000000001E-3</v>
      </c>
      <c r="O36" s="145">
        <v>0.33</v>
      </c>
      <c r="P36" s="145">
        <v>1.49</v>
      </c>
      <c r="Q36" s="151">
        <v>0.56999999999999995</v>
      </c>
      <c r="R36" s="314">
        <v>6.0000000000000001E-3</v>
      </c>
      <c r="S36" s="278">
        <v>0.01</v>
      </c>
      <c r="T36" s="145">
        <v>1.7000000000000001E-2</v>
      </c>
      <c r="U36" s="145">
        <v>8.9999999999999993E-3</v>
      </c>
      <c r="V36" s="145">
        <v>2.4E-2</v>
      </c>
      <c r="W36" s="145">
        <v>2.4E-2</v>
      </c>
      <c r="X36" s="145">
        <v>3.0000000000000001E-3</v>
      </c>
      <c r="Y36" s="145">
        <v>2.8000000000000001E-2</v>
      </c>
      <c r="Z36" s="145" t="s">
        <v>46</v>
      </c>
      <c r="AA36" s="145">
        <v>2E-3</v>
      </c>
      <c r="AB36" s="145">
        <v>2E-3</v>
      </c>
      <c r="AC36" s="145" t="s">
        <v>47</v>
      </c>
      <c r="AD36" s="291">
        <v>1E-3</v>
      </c>
      <c r="AE36" s="145">
        <v>4.0000000000000001E-3</v>
      </c>
      <c r="AF36" s="145">
        <v>2.9999999999999997E-4</v>
      </c>
      <c r="AG36" s="145">
        <v>5.9999999999999995E-4</v>
      </c>
      <c r="AH36" s="145">
        <v>2.7E-2</v>
      </c>
      <c r="AI36" s="278">
        <v>0.01</v>
      </c>
      <c r="AJ36" s="290" t="s">
        <v>90</v>
      </c>
      <c r="AK36" s="147">
        <f t="shared" si="0"/>
        <v>0.66533333333333333</v>
      </c>
      <c r="AL36" s="147">
        <f t="shared" si="1"/>
        <v>0.30556666666666665</v>
      </c>
      <c r="AM36" s="147">
        <f t="shared" si="2"/>
        <v>0.53282696974706256</v>
      </c>
      <c r="AN36" s="292">
        <f t="shared" si="3"/>
        <v>0.38895000000000002</v>
      </c>
      <c r="AO36" s="294">
        <f>100*(J36-J28)/(J11-J28)</f>
        <v>44.827586206896541</v>
      </c>
      <c r="AP36" s="294">
        <f t="shared" ref="AP36:AQ36" si="17">100*(K36-K28)/(K11-K28)</f>
        <v>24.489795918367346</v>
      </c>
      <c r="AQ36" s="294">
        <f t="shared" si="17"/>
        <v>10.256410256410263</v>
      </c>
      <c r="AR36" s="294">
        <f>100*(O36-O28)/(O11-O28)</f>
        <v>30</v>
      </c>
      <c r="AS36" s="171">
        <f t="shared" ref="AS36:AT36" si="18">100*(P36-P28)/(P11-P28)</f>
        <v>34.153005464480884</v>
      </c>
      <c r="AT36" s="340">
        <f t="shared" si="18"/>
        <v>33.333333333333208</v>
      </c>
      <c r="AV36" s="21" t="s">
        <v>90</v>
      </c>
    </row>
    <row r="37" spans="2:48" hidden="1" x14ac:dyDescent="0.25">
      <c r="B37" s="275" t="s">
        <v>54</v>
      </c>
      <c r="C37" s="145">
        <v>4363</v>
      </c>
      <c r="D37" s="145" t="s">
        <v>42</v>
      </c>
      <c r="E37" s="145" t="s">
        <v>57</v>
      </c>
      <c r="F37" s="145" t="s">
        <v>83</v>
      </c>
      <c r="G37" s="145" t="s">
        <v>43</v>
      </c>
      <c r="H37" s="151" t="s">
        <v>55</v>
      </c>
      <c r="I37" s="312"/>
      <c r="J37" s="146">
        <v>0.115</v>
      </c>
      <c r="K37" s="145">
        <v>0.56999999999999995</v>
      </c>
      <c r="L37" s="145">
        <v>1.56</v>
      </c>
      <c r="M37" s="145">
        <v>5.0000000000000001E-3</v>
      </c>
      <c r="N37" s="145">
        <v>4.3E-3</v>
      </c>
      <c r="O37" s="145">
        <v>0.33</v>
      </c>
      <c r="P37" s="145">
        <v>1.47</v>
      </c>
      <c r="Q37" s="151">
        <v>0.56000000000000005</v>
      </c>
      <c r="R37" s="314">
        <v>5.0000000000000001E-3</v>
      </c>
      <c r="S37" s="278">
        <v>0.01</v>
      </c>
      <c r="T37" s="145">
        <v>1.7000000000000001E-2</v>
      </c>
      <c r="U37" s="145">
        <v>8.9999999999999993E-3</v>
      </c>
      <c r="V37" s="145">
        <v>2.4E-2</v>
      </c>
      <c r="W37" s="145">
        <v>2.1999999999999999E-2</v>
      </c>
      <c r="X37" s="145">
        <v>3.0000000000000001E-3</v>
      </c>
      <c r="Y37" s="145">
        <v>2.4E-2</v>
      </c>
      <c r="Z37" s="145" t="s">
        <v>46</v>
      </c>
      <c r="AA37" s="145">
        <v>2E-3</v>
      </c>
      <c r="AB37" s="145">
        <v>2E-3</v>
      </c>
      <c r="AC37" s="145" t="s">
        <v>47</v>
      </c>
      <c r="AD37" s="145">
        <v>8.9999999999999998E-4</v>
      </c>
      <c r="AE37" s="145">
        <v>4.0000000000000001E-3</v>
      </c>
      <c r="AF37" s="145">
        <v>2.9999999999999997E-4</v>
      </c>
      <c r="AG37" s="145">
        <v>5.9999999999999995E-4</v>
      </c>
      <c r="AH37" s="145"/>
      <c r="AI37" s="145"/>
      <c r="AJ37" s="290" t="s">
        <v>100</v>
      </c>
      <c r="AK37" s="147">
        <f t="shared" si="0"/>
        <v>0.65599999999999992</v>
      </c>
      <c r="AL37" s="147">
        <f t="shared" si="1"/>
        <v>0.29773333333333335</v>
      </c>
      <c r="AM37" s="147">
        <f t="shared" si="2"/>
        <v>0.5080312408783858</v>
      </c>
      <c r="AN37" s="292">
        <f t="shared" si="3"/>
        <v>0.38145000000000001</v>
      </c>
      <c r="AO37" s="294">
        <f>100*(J37-J28)/(J11-J28)</f>
        <v>37.931034482758619</v>
      </c>
      <c r="AP37" s="294">
        <f t="shared" ref="AP37:AQ37" si="19">100*(K37-K28)/(K11-K28)</f>
        <v>26.530612244897959</v>
      </c>
      <c r="AQ37" s="294">
        <f t="shared" si="19"/>
        <v>10.256410256410263</v>
      </c>
      <c r="AR37" s="294">
        <f>100*(O37-O28)/(O11-O28)</f>
        <v>30</v>
      </c>
      <c r="AS37" s="171">
        <f t="shared" ref="AS37:AT37" si="20">100*(P37-P28)/(P11-P28)</f>
        <v>35.063752276867042</v>
      </c>
      <c r="AT37" s="340">
        <f t="shared" si="20"/>
        <v>16.666666666666696</v>
      </c>
      <c r="AV37" s="21" t="s">
        <v>100</v>
      </c>
    </row>
    <row r="38" spans="2:48" hidden="1" x14ac:dyDescent="0.25">
      <c r="B38" s="275" t="s">
        <v>54</v>
      </c>
      <c r="C38" s="145">
        <v>4364</v>
      </c>
      <c r="D38" s="145" t="s">
        <v>42</v>
      </c>
      <c r="E38" s="145" t="s">
        <v>57</v>
      </c>
      <c r="F38" s="145" t="s">
        <v>83</v>
      </c>
      <c r="G38" s="145" t="s">
        <v>43</v>
      </c>
      <c r="H38" s="151" t="s">
        <v>56</v>
      </c>
      <c r="I38" s="312"/>
      <c r="J38" s="146">
        <v>0.11</v>
      </c>
      <c r="K38" s="145">
        <v>0.64</v>
      </c>
      <c r="L38" s="145">
        <v>1.55</v>
      </c>
      <c r="M38" s="145">
        <v>4.0000000000000001E-3</v>
      </c>
      <c r="N38" s="145">
        <v>3.0000000000000001E-3</v>
      </c>
      <c r="O38" s="145">
        <v>0.36</v>
      </c>
      <c r="P38" s="145">
        <v>1.78</v>
      </c>
      <c r="Q38" s="151">
        <v>0.56999999999999995</v>
      </c>
      <c r="R38" s="314">
        <v>6.0000000000000001E-3</v>
      </c>
      <c r="S38" s="145">
        <v>8.9999999999999993E-3</v>
      </c>
      <c r="T38" s="145">
        <v>1.2999999999999999E-2</v>
      </c>
      <c r="U38" s="145">
        <v>7.0000000000000001E-3</v>
      </c>
      <c r="V38" s="145">
        <v>2.7E-2</v>
      </c>
      <c r="W38" s="145">
        <v>1.6E-2</v>
      </c>
      <c r="X38" s="145">
        <v>3.0000000000000001E-3</v>
      </c>
      <c r="Y38" s="278">
        <v>0.03</v>
      </c>
      <c r="Z38" s="145" t="s">
        <v>46</v>
      </c>
      <c r="AA38" s="145">
        <v>2E-3</v>
      </c>
      <c r="AB38" s="145">
        <v>2E-3</v>
      </c>
      <c r="AC38" s="145" t="s">
        <v>47</v>
      </c>
      <c r="AD38" s="145">
        <v>8.0000000000000004E-4</v>
      </c>
      <c r="AE38" s="145">
        <v>4.0000000000000001E-3</v>
      </c>
      <c r="AF38" s="145">
        <v>2.0000000000000001E-4</v>
      </c>
      <c r="AG38" s="145">
        <v>5.0000000000000001E-4</v>
      </c>
      <c r="AH38" s="145">
        <v>2.8000000000000001E-2</v>
      </c>
      <c r="AI38" s="145">
        <v>7.0000000000000001E-3</v>
      </c>
      <c r="AJ38" s="290" t="s">
        <v>90</v>
      </c>
      <c r="AK38" s="147">
        <f t="shared" si="0"/>
        <v>0.6774</v>
      </c>
      <c r="AL38" s="147">
        <f t="shared" si="1"/>
        <v>0.30114999999999997</v>
      </c>
      <c r="AM38" s="147">
        <f t="shared" si="2"/>
        <v>0.50643126095418745</v>
      </c>
      <c r="AN38" s="292">
        <f t="shared" si="3"/>
        <v>0.38585000000000003</v>
      </c>
      <c r="AO38" s="294">
        <f>100*(J38-J28)/(J11-J28)</f>
        <v>32.183908045977006</v>
      </c>
      <c r="AP38" s="294">
        <f t="shared" ref="AP38:AQ38" si="21">100*(K38-K28)/(K11-K28)</f>
        <v>12.244897959183662</v>
      </c>
      <c r="AQ38" s="294">
        <f t="shared" si="21"/>
        <v>12.820512820512828</v>
      </c>
      <c r="AR38" s="294">
        <f>100*(O38-O28)/(O11-O28)</f>
        <v>15.000000000000012</v>
      </c>
      <c r="AS38" s="171">
        <f t="shared" ref="AS38:AT38" si="22">100*(P38-P28)/(P11-P28)</f>
        <v>20.947176684881612</v>
      </c>
      <c r="AT38" s="340">
        <f t="shared" si="22"/>
        <v>33.333333333333208</v>
      </c>
      <c r="AV38" s="21" t="s">
        <v>90</v>
      </c>
    </row>
    <row r="39" spans="2:48" hidden="1" x14ac:dyDescent="0.25">
      <c r="B39" s="275" t="s">
        <v>54</v>
      </c>
      <c r="C39" s="145">
        <v>4364</v>
      </c>
      <c r="D39" s="145" t="s">
        <v>42</v>
      </c>
      <c r="E39" s="145" t="s">
        <v>57</v>
      </c>
      <c r="F39" s="145" t="s">
        <v>83</v>
      </c>
      <c r="G39" s="145" t="s">
        <v>43</v>
      </c>
      <c r="H39" s="151" t="s">
        <v>56</v>
      </c>
      <c r="I39" s="312"/>
      <c r="J39" s="146">
        <v>0.108</v>
      </c>
      <c r="K39" s="147">
        <v>0.6</v>
      </c>
      <c r="L39" s="145">
        <v>1.57</v>
      </c>
      <c r="M39" s="145">
        <v>4.0000000000000001E-3</v>
      </c>
      <c r="N39" s="145">
        <v>4.8999999999999998E-3</v>
      </c>
      <c r="O39" s="145">
        <v>0.34</v>
      </c>
      <c r="P39" s="145">
        <v>1.67</v>
      </c>
      <c r="Q39" s="151">
        <v>0.56000000000000005</v>
      </c>
      <c r="R39" s="314">
        <v>6.0000000000000001E-3</v>
      </c>
      <c r="S39" s="278">
        <v>0.01</v>
      </c>
      <c r="T39" s="145">
        <v>1.4999999999999999E-2</v>
      </c>
      <c r="U39" s="145">
        <v>8.0000000000000002E-3</v>
      </c>
      <c r="V39" s="145">
        <v>2.5999999999999999E-2</v>
      </c>
      <c r="W39" s="145">
        <v>1.4999999999999999E-2</v>
      </c>
      <c r="X39" s="145">
        <v>4.0000000000000001E-3</v>
      </c>
      <c r="Y39" s="278">
        <v>0.02</v>
      </c>
      <c r="Z39" s="145" t="s">
        <v>46</v>
      </c>
      <c r="AA39" s="145">
        <v>2E-3</v>
      </c>
      <c r="AB39" s="145">
        <v>2E-3</v>
      </c>
      <c r="AC39" s="145" t="s">
        <v>47</v>
      </c>
      <c r="AD39" s="145">
        <v>8.9999999999999998E-4</v>
      </c>
      <c r="AE39" s="145">
        <v>4.0000000000000001E-3</v>
      </c>
      <c r="AF39" s="145">
        <v>2.0000000000000001E-4</v>
      </c>
      <c r="AG39" s="145">
        <v>5.9999999999999995E-4</v>
      </c>
      <c r="AH39" s="145"/>
      <c r="AI39" s="145"/>
      <c r="AJ39" s="290" t="s">
        <v>100</v>
      </c>
      <c r="AK39" s="147">
        <f t="shared" si="0"/>
        <v>0.66573333333333329</v>
      </c>
      <c r="AL39" s="147">
        <f t="shared" si="1"/>
        <v>0.29596666666666666</v>
      </c>
      <c r="AM39" s="147">
        <f t="shared" si="2"/>
        <v>0.49261165384545658</v>
      </c>
      <c r="AN39" s="292">
        <f t="shared" si="3"/>
        <v>0.38105000000000006</v>
      </c>
      <c r="AO39" s="294">
        <f>100*(J39-J28)/(J11-J28)</f>
        <v>29.885057471264361</v>
      </c>
      <c r="AP39" s="294">
        <f t="shared" ref="AP39:AQ39" si="23">100*(K39-K28)/(K11-K28)</f>
        <v>20.408163265306118</v>
      </c>
      <c r="AQ39" s="294">
        <f t="shared" si="23"/>
        <v>7.692307692307697</v>
      </c>
      <c r="AR39" s="294">
        <f>100*(O39-O28)/(O11-O28)</f>
        <v>24.999999999999993</v>
      </c>
      <c r="AS39" s="171">
        <f t="shared" ref="AS39" si="24">100*(P39-P28)/(P11-P28)</f>
        <v>25.956284153005477</v>
      </c>
      <c r="AT39" s="340">
        <f>100*(Q39-Q28)/(Q11-Q28)</f>
        <v>16.666666666666696</v>
      </c>
      <c r="AV39" s="21" t="s">
        <v>100</v>
      </c>
    </row>
    <row r="40" spans="2:48" ht="6.75" hidden="1" customHeight="1" x14ac:dyDescent="0.25">
      <c r="B40" s="275"/>
      <c r="C40" s="145"/>
      <c r="D40" s="276"/>
      <c r="E40" s="145"/>
      <c r="F40" s="145"/>
      <c r="G40" s="145"/>
      <c r="H40" s="151"/>
      <c r="I40" s="312"/>
      <c r="J40" s="146"/>
      <c r="K40" s="147"/>
      <c r="L40" s="147"/>
      <c r="M40" s="145"/>
      <c r="N40" s="145"/>
      <c r="O40" s="145"/>
      <c r="P40" s="279"/>
      <c r="Q40" s="151"/>
      <c r="R40" s="314"/>
      <c r="S40" s="145"/>
      <c r="T40" s="145"/>
      <c r="U40" s="145"/>
      <c r="V40" s="145"/>
      <c r="W40" s="145"/>
      <c r="X40" s="278"/>
      <c r="Y40" s="278"/>
      <c r="Z40" s="145"/>
      <c r="AA40" s="145"/>
      <c r="AB40" s="145"/>
      <c r="AC40" s="145"/>
      <c r="AD40" s="145"/>
      <c r="AE40" s="291"/>
      <c r="AF40" s="145"/>
      <c r="AG40" s="145"/>
      <c r="AH40" s="278"/>
      <c r="AI40" s="278"/>
      <c r="AJ40" s="290"/>
      <c r="AK40" s="147"/>
      <c r="AL40" s="147"/>
      <c r="AM40" s="147"/>
      <c r="AN40" s="292"/>
      <c r="AO40" s="145"/>
      <c r="AP40" s="145"/>
      <c r="AQ40" s="145"/>
      <c r="AR40" s="145"/>
      <c r="AS40" s="172"/>
      <c r="AT40" s="151"/>
    </row>
    <row r="41" spans="2:48" hidden="1" x14ac:dyDescent="0.25">
      <c r="B41" s="275" t="s">
        <v>54</v>
      </c>
      <c r="C41" s="145">
        <v>4706</v>
      </c>
      <c r="D41" s="145" t="s">
        <v>41</v>
      </c>
      <c r="E41" s="145" t="s">
        <v>51</v>
      </c>
      <c r="F41" s="145" t="s">
        <v>83</v>
      </c>
      <c r="G41" s="145" t="s">
        <v>43</v>
      </c>
      <c r="H41" s="151" t="s">
        <v>55</v>
      </c>
      <c r="I41" s="312"/>
      <c r="J41" s="148">
        <v>0.124</v>
      </c>
      <c r="K41" s="145">
        <v>0.44</v>
      </c>
      <c r="L41" s="145">
        <v>1.28</v>
      </c>
      <c r="M41" s="145">
        <v>0.01</v>
      </c>
      <c r="N41" s="278">
        <v>7.6E-3</v>
      </c>
      <c r="O41" s="145">
        <v>0.44</v>
      </c>
      <c r="P41" s="145">
        <v>1.7</v>
      </c>
      <c r="Q41" s="151">
        <v>0.49</v>
      </c>
      <c r="R41" s="314">
        <v>2E-3</v>
      </c>
      <c r="S41" s="145">
        <v>0.01</v>
      </c>
      <c r="T41" s="145">
        <v>5.0000000000000001E-3</v>
      </c>
      <c r="U41" s="145">
        <v>2E-3</v>
      </c>
      <c r="V41" s="145">
        <v>1.6E-2</v>
      </c>
      <c r="W41" s="145">
        <v>1.7999999999999999E-2</v>
      </c>
      <c r="X41" s="145">
        <v>2E-3</v>
      </c>
      <c r="Y41" s="145">
        <v>8.0000000000000002E-3</v>
      </c>
      <c r="Z41" s="145" t="s">
        <v>46</v>
      </c>
      <c r="AA41" s="145">
        <v>1.9E-3</v>
      </c>
      <c r="AB41" s="145">
        <v>2E-3</v>
      </c>
      <c r="AC41" s="145" t="s">
        <v>47</v>
      </c>
      <c r="AD41" s="145">
        <v>6.9999999999999999E-4</v>
      </c>
      <c r="AE41" s="278">
        <v>1.8E-3</v>
      </c>
      <c r="AF41" s="145">
        <v>2.5999999999999999E-3</v>
      </c>
      <c r="AG41" s="145">
        <v>2E-3</v>
      </c>
      <c r="AH41" s="145"/>
      <c r="AI41" s="278">
        <v>3.2000000000000002E-3</v>
      </c>
      <c r="AJ41" s="290" t="s">
        <v>94</v>
      </c>
      <c r="AK41" s="147">
        <f t="shared" si="0"/>
        <v>0.63873333333333338</v>
      </c>
      <c r="AL41" s="147">
        <f t="shared" si="1"/>
        <v>0.29046666666666665</v>
      </c>
      <c r="AM41" s="147">
        <f t="shared" si="2"/>
        <v>0.51293116934258398</v>
      </c>
      <c r="AN41" s="292">
        <f t="shared" si="3"/>
        <v>0.36630000000000001</v>
      </c>
      <c r="AO41" s="294">
        <f>100*(J41-J29)/(J8-J29)</f>
        <v>62.962962962962976</v>
      </c>
      <c r="AP41" s="294">
        <f t="shared" ref="AP41:AQ41" si="25">100*(K41-K29)/(K8-K29)</f>
        <v>29.166666666666671</v>
      </c>
      <c r="AQ41" s="294">
        <f t="shared" si="25"/>
        <v>22.727272727272751</v>
      </c>
      <c r="AR41" s="294">
        <f>100*(O41-O29)/(O8-O29)</f>
        <v>30.434782608695659</v>
      </c>
      <c r="AS41" s="171">
        <f t="shared" ref="AS41:AT41" si="26">100*(P41-P29)/(P8-P29)</f>
        <v>37.984204588191055</v>
      </c>
      <c r="AT41" s="340">
        <f t="shared" si="26"/>
        <v>37.735849056603776</v>
      </c>
    </row>
    <row r="42" spans="2:48" hidden="1" x14ac:dyDescent="0.25">
      <c r="B42" s="275" t="s">
        <v>54</v>
      </c>
      <c r="C42" s="145">
        <v>4707</v>
      </c>
      <c r="D42" s="145" t="s">
        <v>41</v>
      </c>
      <c r="E42" s="145" t="s">
        <v>51</v>
      </c>
      <c r="F42" s="145" t="s">
        <v>83</v>
      </c>
      <c r="G42" s="145" t="s">
        <v>43</v>
      </c>
      <c r="H42" s="151" t="s">
        <v>56</v>
      </c>
      <c r="I42" s="312"/>
      <c r="J42" s="148">
        <v>0.13</v>
      </c>
      <c r="K42" s="145">
        <v>0.44</v>
      </c>
      <c r="L42" s="145">
        <v>1.2</v>
      </c>
      <c r="M42" s="145">
        <v>8.0000000000000002E-3</v>
      </c>
      <c r="N42" s="278">
        <v>1.6500000000000001E-2</v>
      </c>
      <c r="O42" s="145">
        <v>0.46</v>
      </c>
      <c r="P42" s="145">
        <v>1.62</v>
      </c>
      <c r="Q42" s="151">
        <v>0.48</v>
      </c>
      <c r="R42" s="314">
        <v>2E-3</v>
      </c>
      <c r="S42" s="145">
        <v>0.01</v>
      </c>
      <c r="T42" s="145">
        <v>5.0000000000000001E-3</v>
      </c>
      <c r="U42" s="145">
        <v>2E-3</v>
      </c>
      <c r="V42" s="145">
        <v>1.4999999999999999E-2</v>
      </c>
      <c r="W42" s="145">
        <v>1.7000000000000001E-2</v>
      </c>
      <c r="X42" s="145" t="s">
        <v>46</v>
      </c>
      <c r="Y42" s="145">
        <v>8.0000000000000002E-3</v>
      </c>
      <c r="Z42" s="145" t="s">
        <v>46</v>
      </c>
      <c r="AA42" s="145">
        <v>1.4E-3</v>
      </c>
      <c r="AB42" s="145" t="s">
        <v>46</v>
      </c>
      <c r="AC42" s="145" t="s">
        <v>47</v>
      </c>
      <c r="AD42" s="145">
        <v>6.9999999999999999E-4</v>
      </c>
      <c r="AE42" s="278">
        <v>3.0000000000000001E-3</v>
      </c>
      <c r="AF42" s="145">
        <v>6.2399999999999997E-2</v>
      </c>
      <c r="AG42" s="145">
        <v>1.2999999999999999E-2</v>
      </c>
      <c r="AH42" s="145"/>
      <c r="AI42" s="278">
        <v>8.8000000000000005E-3</v>
      </c>
      <c r="AJ42" s="290" t="s">
        <v>93</v>
      </c>
      <c r="AK42" s="147">
        <f t="shared" si="0"/>
        <v>0.62799999999999989</v>
      </c>
      <c r="AL42" s="147">
        <f t="shared" si="1"/>
        <v>0.29141666666666666</v>
      </c>
      <c r="AM42" s="147">
        <f t="shared" si="2"/>
        <v>0.52146531837286902</v>
      </c>
      <c r="AN42" s="292">
        <f t="shared" si="3"/>
        <v>0.36224999999999996</v>
      </c>
      <c r="AO42" s="294">
        <f>100*(J42-J29)/(J8-J29)</f>
        <v>74.074074074074105</v>
      </c>
      <c r="AP42" s="294">
        <f t="shared" ref="AP42:AQ42" si="27">100*(K42-K29)/(K8-K29)</f>
        <v>29.166666666666671</v>
      </c>
      <c r="AQ42" s="294">
        <f t="shared" si="27"/>
        <v>59.090909090909143</v>
      </c>
      <c r="AR42" s="294">
        <f>100*(O42-O29)/(O8-O29)</f>
        <v>21.739130434782606</v>
      </c>
      <c r="AS42" s="171">
        <f t="shared" ref="AS42:AT42" si="28">100*(P42-P29)/(P8-P29)</f>
        <v>40.992854456562618</v>
      </c>
      <c r="AT42" s="340">
        <f t="shared" si="28"/>
        <v>39.622641509433961</v>
      </c>
    </row>
    <row r="43" spans="2:48" hidden="1" x14ac:dyDescent="0.25">
      <c r="B43" s="275" t="s">
        <v>54</v>
      </c>
      <c r="C43" s="145">
        <v>4708</v>
      </c>
      <c r="D43" s="145" t="s">
        <v>41</v>
      </c>
      <c r="E43" s="145" t="s">
        <v>52</v>
      </c>
      <c r="F43" s="145" t="s">
        <v>83</v>
      </c>
      <c r="G43" s="145" t="s">
        <v>43</v>
      </c>
      <c r="H43" s="151" t="s">
        <v>55</v>
      </c>
      <c r="I43" s="312"/>
      <c r="J43" s="148">
        <v>0.10100000000000001</v>
      </c>
      <c r="K43" s="145">
        <v>0.52</v>
      </c>
      <c r="L43" s="145">
        <v>1.53</v>
      </c>
      <c r="M43" s="145">
        <v>1.0999999999999999E-2</v>
      </c>
      <c r="N43" s="278">
        <v>6.4000000000000003E-3</v>
      </c>
      <c r="O43" s="145">
        <v>0.3</v>
      </c>
      <c r="P43" s="145">
        <v>1.34</v>
      </c>
      <c r="Q43" s="151">
        <v>0.35</v>
      </c>
      <c r="R43" s="314">
        <v>4.0000000000000001E-3</v>
      </c>
      <c r="S43" s="145">
        <v>8.0000000000000002E-3</v>
      </c>
      <c r="T43" s="145">
        <v>5.0000000000000001E-3</v>
      </c>
      <c r="U43" s="145">
        <v>2E-3</v>
      </c>
      <c r="V43" s="145">
        <v>2.3E-2</v>
      </c>
      <c r="W43" s="145">
        <v>1.4E-2</v>
      </c>
      <c r="X43" s="145">
        <v>2E-3</v>
      </c>
      <c r="Y43" s="145">
        <v>3.3999999999999998E-3</v>
      </c>
      <c r="Z43" s="145" t="s">
        <v>46</v>
      </c>
      <c r="AA43" s="145">
        <v>1.6999999999999999E-3</v>
      </c>
      <c r="AB43" s="145">
        <v>2E-3</v>
      </c>
      <c r="AC43" s="145" t="s">
        <v>47</v>
      </c>
      <c r="AD43" s="145">
        <v>1E-3</v>
      </c>
      <c r="AE43" s="278">
        <v>1.4E-3</v>
      </c>
      <c r="AF43" s="145">
        <v>2.9999999999999997E-4</v>
      </c>
      <c r="AG43" s="145">
        <v>4.0000000000000002E-4</v>
      </c>
      <c r="AH43" s="145"/>
      <c r="AI43" s="278">
        <v>3.5999999999999999E-3</v>
      </c>
      <c r="AJ43" s="290" t="s">
        <v>93</v>
      </c>
      <c r="AK43" s="147">
        <f t="shared" si="0"/>
        <v>0.57786666666666653</v>
      </c>
      <c r="AL43" s="147">
        <f t="shared" si="1"/>
        <v>0.26215000000000005</v>
      </c>
      <c r="AM43" s="147">
        <f t="shared" si="2"/>
        <v>0.41523340523807528</v>
      </c>
      <c r="AN43" s="292">
        <f t="shared" si="3"/>
        <v>0.33865000000000001</v>
      </c>
      <c r="AO43" s="294">
        <f>100*(J43-J27)/(J8-J27)</f>
        <v>24.561403508771953</v>
      </c>
      <c r="AP43" s="294">
        <f t="shared" ref="AP43:AQ43" si="29">100*(K43-K27)/(K8-K27)</f>
        <v>16.666666666666647</v>
      </c>
      <c r="AQ43" s="294">
        <f t="shared" si="29"/>
        <v>4.5454545454545503</v>
      </c>
      <c r="AR43" s="294" t="e">
        <f>100*(O43-O27)/(O8-O27)</f>
        <v>#DIV/0!</v>
      </c>
      <c r="AS43" s="171">
        <f t="shared" ref="AS43:AT43" si="30">100*(P43-P27)/(P8-P27)</f>
        <v>28.74516307352128</v>
      </c>
      <c r="AT43" s="340">
        <f t="shared" si="30"/>
        <v>29.629629629629633</v>
      </c>
    </row>
    <row r="44" spans="2:48" hidden="1" x14ac:dyDescent="0.25">
      <c r="B44" s="275" t="s">
        <v>54</v>
      </c>
      <c r="C44" s="145">
        <v>4709</v>
      </c>
      <c r="D44" s="145" t="s">
        <v>41</v>
      </c>
      <c r="E44" s="145" t="s">
        <v>52</v>
      </c>
      <c r="F44" s="145" t="s">
        <v>83</v>
      </c>
      <c r="G44" s="145" t="s">
        <v>43</v>
      </c>
      <c r="H44" s="151" t="s">
        <v>56</v>
      </c>
      <c r="I44" s="312"/>
      <c r="J44" s="148">
        <v>0.104</v>
      </c>
      <c r="K44" s="145">
        <v>0.49</v>
      </c>
      <c r="L44" s="145">
        <v>1.48</v>
      </c>
      <c r="M44" s="145">
        <v>0.01</v>
      </c>
      <c r="N44" s="278">
        <v>6.1999999999999998E-3</v>
      </c>
      <c r="O44" s="145">
        <v>0.3</v>
      </c>
      <c r="P44" s="145">
        <v>1.26</v>
      </c>
      <c r="Q44" s="151">
        <v>0.34</v>
      </c>
      <c r="R44" s="314">
        <v>4.0000000000000001E-3</v>
      </c>
      <c r="S44" s="145">
        <v>8.0000000000000002E-3</v>
      </c>
      <c r="T44" s="145">
        <v>5.0000000000000001E-3</v>
      </c>
      <c r="U44" s="145">
        <v>2E-3</v>
      </c>
      <c r="V44" s="145">
        <v>2.1999999999999999E-2</v>
      </c>
      <c r="W44" s="145">
        <v>1.4E-2</v>
      </c>
      <c r="X44" s="145">
        <v>2E-3</v>
      </c>
      <c r="Y44" s="145">
        <v>3.3999999999999998E-3</v>
      </c>
      <c r="Z44" s="145" t="s">
        <v>46</v>
      </c>
      <c r="AA44" s="145">
        <v>1.6000000000000001E-3</v>
      </c>
      <c r="AB44" s="145">
        <v>2E-3</v>
      </c>
      <c r="AC44" s="145" t="s">
        <v>47</v>
      </c>
      <c r="AD44" s="145">
        <v>1.1000000000000001E-3</v>
      </c>
      <c r="AE44" s="278">
        <v>1.8E-3</v>
      </c>
      <c r="AF44" s="145">
        <v>5.0000000000000001E-4</v>
      </c>
      <c r="AG44" s="145">
        <v>5.0000000000000001E-4</v>
      </c>
      <c r="AH44" s="145"/>
      <c r="AI44" s="278">
        <v>3.0000000000000001E-3</v>
      </c>
      <c r="AJ44" s="290" t="s">
        <v>93</v>
      </c>
      <c r="AK44" s="147">
        <f t="shared" si="0"/>
        <v>0.56513333333333338</v>
      </c>
      <c r="AL44" s="147">
        <f t="shared" si="1"/>
        <v>0.26009999999999994</v>
      </c>
      <c r="AM44" s="147">
        <f t="shared" si="2"/>
        <v>0.41404569616675857</v>
      </c>
      <c r="AN44" s="292">
        <f t="shared" si="3"/>
        <v>0.33360000000000001</v>
      </c>
      <c r="AO44" s="294">
        <f>100*(J44-J27)/(J8-J27)</f>
        <v>29.824561403508778</v>
      </c>
      <c r="AP44" s="294">
        <f t="shared" ref="AP44:AQ44" si="31">100*(K44-K27)/(K8-K27)</f>
        <v>26.666666666666661</v>
      </c>
      <c r="AQ44" s="294">
        <f t="shared" si="31"/>
        <v>15.909090909090924</v>
      </c>
      <c r="AR44" s="294" t="e">
        <f>100*(O44-O27)/(O8-O27)</f>
        <v>#DIV/0!</v>
      </c>
      <c r="AS44" s="171">
        <f t="shared" ref="AS44:AT44" si="32">100*(P44-P27)/(P8-P27)</f>
        <v>33.16749585406302</v>
      </c>
      <c r="AT44" s="340">
        <f t="shared" si="32"/>
        <v>33.333333333333321</v>
      </c>
    </row>
    <row r="45" spans="2:48" hidden="1" x14ac:dyDescent="0.25">
      <c r="B45" s="275" t="s">
        <v>54</v>
      </c>
      <c r="C45" s="145">
        <v>4710</v>
      </c>
      <c r="D45" s="145" t="s">
        <v>42</v>
      </c>
      <c r="E45" s="145" t="s">
        <v>53</v>
      </c>
      <c r="F45" s="145" t="s">
        <v>83</v>
      </c>
      <c r="G45" s="145" t="s">
        <v>43</v>
      </c>
      <c r="H45" s="151" t="s">
        <v>55</v>
      </c>
      <c r="I45" s="312"/>
      <c r="J45" s="148">
        <v>0.122</v>
      </c>
      <c r="K45" s="145">
        <v>0.44</v>
      </c>
      <c r="L45" s="145">
        <v>1.28</v>
      </c>
      <c r="M45" s="145">
        <v>8.0000000000000002E-3</v>
      </c>
      <c r="N45" s="278">
        <v>5.7000000000000002E-3</v>
      </c>
      <c r="O45" s="145">
        <v>0.45</v>
      </c>
      <c r="P45" s="145">
        <v>1.79</v>
      </c>
      <c r="Q45" s="151">
        <v>0.67</v>
      </c>
      <c r="R45" s="314">
        <v>3.0000000000000001E-3</v>
      </c>
      <c r="S45" s="145">
        <v>0.01</v>
      </c>
      <c r="T45" s="145">
        <v>1.4E-2</v>
      </c>
      <c r="U45" s="145">
        <v>7.0000000000000001E-3</v>
      </c>
      <c r="V45" s="145">
        <v>0.02</v>
      </c>
      <c r="W45" s="145">
        <v>2.1000000000000001E-2</v>
      </c>
      <c r="X45" s="145">
        <v>2E-3</v>
      </c>
      <c r="Y45" s="145">
        <v>1.4E-2</v>
      </c>
      <c r="Z45" s="145" t="s">
        <v>46</v>
      </c>
      <c r="AA45" s="145">
        <v>2E-3</v>
      </c>
      <c r="AB45" s="145">
        <v>2E-3</v>
      </c>
      <c r="AC45" s="145" t="s">
        <v>47</v>
      </c>
      <c r="AD45" s="145">
        <v>5.0000000000000001E-4</v>
      </c>
      <c r="AE45" s="278">
        <v>2E-3</v>
      </c>
      <c r="AF45" s="145">
        <v>8.9999999999999998E-4</v>
      </c>
      <c r="AG45" s="145">
        <v>1.6999999999999999E-3</v>
      </c>
      <c r="AH45" s="145"/>
      <c r="AI45" s="278">
        <v>4.4000000000000003E-3</v>
      </c>
      <c r="AJ45" s="290" t="s">
        <v>93</v>
      </c>
      <c r="AK45" s="147">
        <f t="shared" si="0"/>
        <v>0.68280000000000007</v>
      </c>
      <c r="AL45" s="147">
        <f t="shared" si="1"/>
        <v>0.30256666666666671</v>
      </c>
      <c r="AM45" s="147">
        <f t="shared" si="2"/>
        <v>0.54052906481183938</v>
      </c>
      <c r="AN45" s="292">
        <f t="shared" si="3"/>
        <v>0.38525000000000004</v>
      </c>
      <c r="AO45" s="294">
        <f>100*(J45-J30)/(J11-J30)</f>
        <v>31.884057971014478</v>
      </c>
      <c r="AP45" s="294">
        <f t="shared" ref="AP45:AQ45" si="33">100*(K45-K30)/(K11-K30)</f>
        <v>30.303030303030308</v>
      </c>
      <c r="AQ45" s="294">
        <f t="shared" si="33"/>
        <v>-40</v>
      </c>
      <c r="AR45" s="294">
        <f>100*(O45-O30)/(O11-O30)</f>
        <v>27.777777777777786</v>
      </c>
      <c r="AS45" s="171">
        <f t="shared" ref="AS45:AT45" si="34">100*(P45-P30)/(P11-P30)</f>
        <v>32.220496894409941</v>
      </c>
      <c r="AT45" s="340">
        <f t="shared" si="34"/>
        <v>39.999999999999936</v>
      </c>
    </row>
    <row r="46" spans="2:48" hidden="1" x14ac:dyDescent="0.25">
      <c r="B46" s="275" t="s">
        <v>54</v>
      </c>
      <c r="C46" s="145">
        <v>4711</v>
      </c>
      <c r="D46" s="145" t="s">
        <v>42</v>
      </c>
      <c r="E46" s="145" t="s">
        <v>53</v>
      </c>
      <c r="F46" s="145" t="s">
        <v>83</v>
      </c>
      <c r="G46" s="145" t="s">
        <v>43</v>
      </c>
      <c r="H46" s="151" t="s">
        <v>56</v>
      </c>
      <c r="I46" s="312"/>
      <c r="J46" s="148">
        <v>0.13400000000000001</v>
      </c>
      <c r="K46" s="145">
        <v>0.44</v>
      </c>
      <c r="L46" s="145">
        <v>1.25</v>
      </c>
      <c r="M46" s="145">
        <v>8.0000000000000002E-3</v>
      </c>
      <c r="N46" s="278">
        <v>5.5999999999999999E-3</v>
      </c>
      <c r="O46" s="145">
        <v>0.38</v>
      </c>
      <c r="P46" s="145">
        <v>1.62</v>
      </c>
      <c r="Q46" s="151">
        <v>0.66</v>
      </c>
      <c r="R46" s="314">
        <v>4.0000000000000001E-3</v>
      </c>
      <c r="S46" s="145">
        <v>1.0999999999999999E-2</v>
      </c>
      <c r="T46" s="145">
        <v>1.6E-2</v>
      </c>
      <c r="U46" s="145">
        <v>8.0000000000000002E-3</v>
      </c>
      <c r="V46" s="145">
        <v>1.9E-2</v>
      </c>
      <c r="W46" s="145">
        <v>2.7E-2</v>
      </c>
      <c r="X46" s="145">
        <v>1E-3</v>
      </c>
      <c r="Y46" s="145">
        <v>1.2999999999999999E-2</v>
      </c>
      <c r="Z46" s="145" t="s">
        <v>46</v>
      </c>
      <c r="AA46" s="145">
        <v>1.9E-3</v>
      </c>
      <c r="AB46" s="145">
        <v>1E-3</v>
      </c>
      <c r="AC46" s="145" t="s">
        <v>47</v>
      </c>
      <c r="AD46" s="145">
        <v>5.9999999999999995E-4</v>
      </c>
      <c r="AE46" s="278">
        <v>3.0000000000000001E-3</v>
      </c>
      <c r="AF46" s="145">
        <v>2.93E-2</v>
      </c>
      <c r="AG46" s="145">
        <v>8.0000000000000002E-3</v>
      </c>
      <c r="AH46" s="145"/>
      <c r="AI46" s="278">
        <v>3.8999999999999998E-3</v>
      </c>
      <c r="AJ46" s="290" t="s">
        <v>93</v>
      </c>
      <c r="AK46" s="147">
        <f t="shared" si="0"/>
        <v>0.66280000000000006</v>
      </c>
      <c r="AL46" s="147">
        <f t="shared" si="1"/>
        <v>0.30671666666666664</v>
      </c>
      <c r="AM46" s="147">
        <f t="shared" si="2"/>
        <v>0.56089591934145133</v>
      </c>
      <c r="AN46" s="292">
        <f t="shared" si="3"/>
        <v>0.38545000000000001</v>
      </c>
      <c r="AO46" s="294">
        <f>100*(J46-J30)/(J11-J30)</f>
        <v>49.275362318840578</v>
      </c>
      <c r="AP46" s="294">
        <f t="shared" ref="AP46:AQ46" si="35">100*(K46-K30)/(K11-K30)</f>
        <v>30.303030303030308</v>
      </c>
      <c r="AQ46" s="294">
        <f t="shared" si="35"/>
        <v>20</v>
      </c>
      <c r="AR46" s="294">
        <f>100*(O46-O30)/(O11-O30)</f>
        <v>47.222222222222229</v>
      </c>
      <c r="AS46" s="171">
        <f t="shared" ref="AS46:AT46" si="36">100*(P46-P30)/(P11-P30)</f>
        <v>38.819875776397517</v>
      </c>
      <c r="AT46" s="340">
        <f t="shared" si="36"/>
        <v>49.999999999999943</v>
      </c>
    </row>
    <row r="47" spans="2:48" ht="6.75" hidden="1" customHeight="1" x14ac:dyDescent="0.25">
      <c r="B47" s="275"/>
      <c r="C47" s="145"/>
      <c r="D47" s="276"/>
      <c r="E47" s="145"/>
      <c r="F47" s="145"/>
      <c r="G47" s="145"/>
      <c r="H47" s="151"/>
      <c r="I47" s="312"/>
      <c r="J47" s="146"/>
      <c r="K47" s="147"/>
      <c r="L47" s="147"/>
      <c r="M47" s="145"/>
      <c r="N47" s="145"/>
      <c r="O47" s="145"/>
      <c r="P47" s="279"/>
      <c r="Q47" s="151"/>
      <c r="R47" s="314"/>
      <c r="S47" s="145"/>
      <c r="T47" s="145"/>
      <c r="U47" s="145"/>
      <c r="V47" s="145"/>
      <c r="W47" s="145"/>
      <c r="X47" s="278"/>
      <c r="Y47" s="278"/>
      <c r="Z47" s="145"/>
      <c r="AA47" s="145"/>
      <c r="AB47" s="145"/>
      <c r="AC47" s="145"/>
      <c r="AD47" s="145"/>
      <c r="AE47" s="291"/>
      <c r="AF47" s="145"/>
      <c r="AG47" s="145"/>
      <c r="AH47" s="278"/>
      <c r="AI47" s="278"/>
      <c r="AJ47" s="290"/>
      <c r="AK47" s="147"/>
      <c r="AL47" s="147"/>
      <c r="AM47" s="147"/>
      <c r="AN47" s="292"/>
      <c r="AO47" s="145"/>
      <c r="AP47" s="145"/>
      <c r="AQ47" s="145"/>
      <c r="AR47" s="145"/>
      <c r="AS47" s="172"/>
      <c r="AT47" s="151"/>
    </row>
    <row r="48" spans="2:48" hidden="1" x14ac:dyDescent="0.25">
      <c r="B48" s="275" t="s">
        <v>54</v>
      </c>
      <c r="C48" s="145">
        <v>4706</v>
      </c>
      <c r="D48" s="145" t="s">
        <v>41</v>
      </c>
      <c r="E48" s="145" t="s">
        <v>51</v>
      </c>
      <c r="F48" s="145" t="s">
        <v>83</v>
      </c>
      <c r="G48" s="145" t="s">
        <v>43</v>
      </c>
      <c r="H48" s="151" t="s">
        <v>55</v>
      </c>
      <c r="I48" s="312"/>
      <c r="J48" s="275">
        <v>0.12</v>
      </c>
      <c r="K48" s="145">
        <v>0.42</v>
      </c>
      <c r="L48" s="145">
        <v>1.23</v>
      </c>
      <c r="M48" s="145">
        <v>0.01</v>
      </c>
      <c r="N48" s="278">
        <v>7.0000000000000001E-3</v>
      </c>
      <c r="O48" s="145">
        <v>0.44</v>
      </c>
      <c r="P48" s="145">
        <v>1.66</v>
      </c>
      <c r="Q48" s="151">
        <v>0.49</v>
      </c>
      <c r="R48" s="314">
        <v>2E-3</v>
      </c>
      <c r="S48" s="145">
        <v>0.01</v>
      </c>
      <c r="T48" s="145">
        <v>5.0000000000000001E-3</v>
      </c>
      <c r="U48" s="145">
        <v>3.0000000000000001E-3</v>
      </c>
      <c r="V48" s="145">
        <v>1.6E-2</v>
      </c>
      <c r="W48" s="145">
        <v>1.6E-2</v>
      </c>
      <c r="X48" s="145">
        <v>2E-3</v>
      </c>
      <c r="Y48" s="145">
        <v>8.0000000000000002E-3</v>
      </c>
      <c r="Z48" s="145" t="s">
        <v>46</v>
      </c>
      <c r="AA48" s="145">
        <v>1.9E-3</v>
      </c>
      <c r="AB48" s="145">
        <v>2E-3</v>
      </c>
      <c r="AC48" s="145" t="s">
        <v>47</v>
      </c>
      <c r="AD48" s="145">
        <v>6.9999999999999999E-4</v>
      </c>
      <c r="AE48" s="145">
        <v>3.0000000000000001E-3</v>
      </c>
      <c r="AF48" s="145">
        <v>5.9999999999999995E-4</v>
      </c>
      <c r="AG48" s="145">
        <v>1.9E-3</v>
      </c>
      <c r="AH48" s="145">
        <v>2.5999999999999999E-2</v>
      </c>
      <c r="AI48" s="145">
        <v>5.0000000000000001E-3</v>
      </c>
      <c r="AJ48" s="290" t="s">
        <v>92</v>
      </c>
      <c r="AK48" s="147">
        <f t="shared" si="0"/>
        <v>0.62373333333333325</v>
      </c>
      <c r="AL48" s="147">
        <f t="shared" si="1"/>
        <v>0.28263333333333335</v>
      </c>
      <c r="AM48" s="147">
        <f t="shared" si="2"/>
        <v>0.49062499999999992</v>
      </c>
      <c r="AN48" s="292">
        <f t="shared" si="3"/>
        <v>0.35630000000000001</v>
      </c>
      <c r="AO48" s="294">
        <f>100*(J48-J29)/(J8-J29)</f>
        <v>55.555555555555564</v>
      </c>
      <c r="AP48" s="294">
        <f t="shared" ref="AP48:AQ48" si="37">100*(K48-K29)/(K8-K29)</f>
        <v>37.500000000000007</v>
      </c>
      <c r="AQ48" s="294">
        <f t="shared" si="37"/>
        <v>45.454545454545503</v>
      </c>
      <c r="AR48" s="294">
        <f>100*(O48-O29)/(O8-O29)</f>
        <v>30.434782608695659</v>
      </c>
      <c r="AS48" s="171">
        <f t="shared" ref="AS48:AT48" si="38">100*(P48-P29)/(P8-P29)</f>
        <v>39.488529522376837</v>
      </c>
      <c r="AT48" s="340">
        <f t="shared" si="38"/>
        <v>37.735849056603776</v>
      </c>
    </row>
    <row r="49" spans="2:46" hidden="1" x14ac:dyDescent="0.25">
      <c r="B49" s="275" t="s">
        <v>54</v>
      </c>
      <c r="C49" s="145">
        <v>4707</v>
      </c>
      <c r="D49" s="145" t="s">
        <v>41</v>
      </c>
      <c r="E49" s="145" t="s">
        <v>51</v>
      </c>
      <c r="F49" s="145" t="s">
        <v>83</v>
      </c>
      <c r="G49" s="145" t="s">
        <v>43</v>
      </c>
      <c r="H49" s="151" t="s">
        <v>56</v>
      </c>
      <c r="I49" s="312"/>
      <c r="J49" s="275">
        <v>0.11</v>
      </c>
      <c r="K49" s="145">
        <v>0.44</v>
      </c>
      <c r="L49" s="145">
        <v>1.26</v>
      </c>
      <c r="M49" s="145">
        <v>0.01</v>
      </c>
      <c r="N49" s="278">
        <v>8.9999999999999993E-3</v>
      </c>
      <c r="O49" s="145">
        <v>0.48</v>
      </c>
      <c r="P49" s="145">
        <v>2.0299999999999998</v>
      </c>
      <c r="Q49" s="151">
        <v>0.55000000000000004</v>
      </c>
      <c r="R49" s="314">
        <v>3.0000000000000001E-3</v>
      </c>
      <c r="S49" s="145">
        <v>8.9999999999999993E-3</v>
      </c>
      <c r="T49" s="145">
        <v>4.0000000000000001E-3</v>
      </c>
      <c r="U49" s="145">
        <v>3.0000000000000001E-3</v>
      </c>
      <c r="V49" s="145">
        <v>1.7999999999999999E-2</v>
      </c>
      <c r="W49" s="145">
        <v>1.0999999999999999E-2</v>
      </c>
      <c r="X49" s="145">
        <v>2E-3</v>
      </c>
      <c r="Y49" s="145">
        <v>7.0000000000000001E-3</v>
      </c>
      <c r="Z49" s="145" t="s">
        <v>46</v>
      </c>
      <c r="AA49" s="145">
        <v>2E-3</v>
      </c>
      <c r="AB49" s="145">
        <v>2E-3</v>
      </c>
      <c r="AC49" s="145" t="s">
        <v>47</v>
      </c>
      <c r="AD49" s="145">
        <v>5.9999999999999995E-4</v>
      </c>
      <c r="AE49" s="145">
        <v>3.0000000000000001E-3</v>
      </c>
      <c r="AF49" s="145">
        <v>5.0000000000000001E-4</v>
      </c>
      <c r="AG49" s="145">
        <v>1.4E-3</v>
      </c>
      <c r="AH49" s="145">
        <v>2.1999999999999999E-2</v>
      </c>
      <c r="AI49" s="145">
        <v>8.9999999999999993E-3</v>
      </c>
      <c r="AJ49" s="290" t="s">
        <v>92</v>
      </c>
      <c r="AK49" s="147">
        <f t="shared" si="0"/>
        <v>0.66333333333333333</v>
      </c>
      <c r="AL49" s="147">
        <f t="shared" si="1"/>
        <v>0.28646666666666665</v>
      </c>
      <c r="AM49" s="147">
        <f t="shared" si="2"/>
        <v>0.48725663710339279</v>
      </c>
      <c r="AN49" s="292">
        <f t="shared" si="3"/>
        <v>0.36665000000000003</v>
      </c>
      <c r="AO49" s="294">
        <f>100*(J49-J29)/(J8-J29)</f>
        <v>37.037037037037052</v>
      </c>
      <c r="AP49" s="294">
        <f t="shared" ref="AP49:AQ49" si="39">100*(K49-K29)/(K8-K29)</f>
        <v>29.166666666666671</v>
      </c>
      <c r="AQ49" s="294">
        <f t="shared" si="39"/>
        <v>31.818181818181849</v>
      </c>
      <c r="AR49" s="294">
        <f>100*(O49-O29)/(O8-O29)</f>
        <v>13.043478260869577</v>
      </c>
      <c r="AS49" s="171">
        <f t="shared" ref="AS49:AT49" si="40">100*(P49-P29)/(P8-P29)</f>
        <v>25.573523881158337</v>
      </c>
      <c r="AT49" s="340">
        <f t="shared" si="40"/>
        <v>26.415094339622627</v>
      </c>
    </row>
    <row r="50" spans="2:46" hidden="1" x14ac:dyDescent="0.25">
      <c r="B50" s="275" t="s">
        <v>54</v>
      </c>
      <c r="C50" s="145">
        <v>4708</v>
      </c>
      <c r="D50" s="145" t="s">
        <v>41</v>
      </c>
      <c r="E50" s="145" t="s">
        <v>52</v>
      </c>
      <c r="F50" s="145" t="s">
        <v>83</v>
      </c>
      <c r="G50" s="145" t="s">
        <v>43</v>
      </c>
      <c r="H50" s="151" t="s">
        <v>55</v>
      </c>
      <c r="I50" s="312"/>
      <c r="J50" s="275">
        <v>0.11</v>
      </c>
      <c r="K50" s="145">
        <v>0.52</v>
      </c>
      <c r="L50" s="145">
        <v>1.53</v>
      </c>
      <c r="M50" s="145">
        <v>1.0999999999999999E-2</v>
      </c>
      <c r="N50" s="278">
        <v>5.0000000000000001E-3</v>
      </c>
      <c r="O50" s="145">
        <v>0.3</v>
      </c>
      <c r="P50" s="145">
        <v>1.36</v>
      </c>
      <c r="Q50" s="151">
        <v>0.36</v>
      </c>
      <c r="R50" s="314">
        <v>5.0000000000000001E-3</v>
      </c>
      <c r="S50" s="145">
        <v>8.0000000000000002E-3</v>
      </c>
      <c r="T50" s="145">
        <v>5.0000000000000001E-3</v>
      </c>
      <c r="U50" s="145">
        <v>3.0000000000000001E-3</v>
      </c>
      <c r="V50" s="145">
        <v>2.4E-2</v>
      </c>
      <c r="W50" s="145">
        <v>1.2E-2</v>
      </c>
      <c r="X50" s="145">
        <v>2E-3</v>
      </c>
      <c r="Y50" s="145">
        <v>3.3E-3</v>
      </c>
      <c r="Z50" s="145" t="s">
        <v>46</v>
      </c>
      <c r="AA50" s="145">
        <v>1.6999999999999999E-3</v>
      </c>
      <c r="AB50" s="145">
        <v>2E-3</v>
      </c>
      <c r="AC50" s="145" t="s">
        <v>47</v>
      </c>
      <c r="AD50" s="145">
        <v>1E-3</v>
      </c>
      <c r="AE50" s="145">
        <v>2E-3</v>
      </c>
      <c r="AF50" s="145">
        <v>2.9999999999999997E-4</v>
      </c>
      <c r="AG50" s="145">
        <v>5.0000000000000001E-4</v>
      </c>
      <c r="AH50" s="145">
        <v>2.7E-2</v>
      </c>
      <c r="AI50" s="145">
        <v>7.0000000000000001E-3</v>
      </c>
      <c r="AJ50" s="290" t="s">
        <v>92</v>
      </c>
      <c r="AK50" s="147">
        <f t="shared" si="0"/>
        <v>0.59026666666666661</v>
      </c>
      <c r="AL50" s="147">
        <f t="shared" si="1"/>
        <v>0.2722</v>
      </c>
      <c r="AM50" s="147">
        <f t="shared" si="2"/>
        <v>0.44622154075035231</v>
      </c>
      <c r="AN50" s="292">
        <f t="shared" si="3"/>
        <v>0.34919999999999995</v>
      </c>
      <c r="AO50" s="294">
        <f>100*(J50-J27)/(J8-J27)</f>
        <v>40.350877192982473</v>
      </c>
      <c r="AP50" s="294">
        <f t="shared" ref="AP50:AQ50" si="41">100*(K50-K27)/(K8-K27)</f>
        <v>16.666666666666647</v>
      </c>
      <c r="AQ50" s="294">
        <f t="shared" si="41"/>
        <v>4.5454545454545503</v>
      </c>
      <c r="AR50" s="294" t="e">
        <f>100*(O50-O27)/(O8-O27)</f>
        <v>#DIV/0!</v>
      </c>
      <c r="AS50" s="171">
        <f t="shared" ref="AS50:AT50" si="42">100*(P50-P27)/(P8-P27)</f>
        <v>27.639579878385845</v>
      </c>
      <c r="AT50" s="340">
        <f t="shared" si="42"/>
        <v>25.925925925925927</v>
      </c>
    </row>
    <row r="51" spans="2:46" hidden="1" x14ac:dyDescent="0.25">
      <c r="B51" s="275" t="s">
        <v>54</v>
      </c>
      <c r="C51" s="145">
        <v>4709</v>
      </c>
      <c r="D51" s="145" t="s">
        <v>41</v>
      </c>
      <c r="E51" s="145" t="s">
        <v>52</v>
      </c>
      <c r="F51" s="145" t="s">
        <v>83</v>
      </c>
      <c r="G51" s="145" t="s">
        <v>43</v>
      </c>
      <c r="H51" s="151" t="s">
        <v>56</v>
      </c>
      <c r="I51" s="312"/>
      <c r="J51" s="148">
        <v>0.1</v>
      </c>
      <c r="K51" s="145">
        <v>0.49</v>
      </c>
      <c r="L51" s="145">
        <v>1.48</v>
      </c>
      <c r="M51" s="145">
        <v>1.0999999999999999E-2</v>
      </c>
      <c r="N51" s="278">
        <v>6.0000000000000001E-3</v>
      </c>
      <c r="O51" s="145">
        <v>0.3</v>
      </c>
      <c r="P51" s="145">
        <v>1.32</v>
      </c>
      <c r="Q51" s="151">
        <v>0.35</v>
      </c>
      <c r="R51" s="314">
        <v>4.0000000000000001E-3</v>
      </c>
      <c r="S51" s="145">
        <v>8.0000000000000002E-3</v>
      </c>
      <c r="T51" s="145">
        <v>5.0000000000000001E-3</v>
      </c>
      <c r="U51" s="145">
        <v>3.0000000000000001E-3</v>
      </c>
      <c r="V51" s="145">
        <v>2.4E-2</v>
      </c>
      <c r="W51" s="145">
        <v>1.2E-2</v>
      </c>
      <c r="X51" s="145">
        <v>2E-3</v>
      </c>
      <c r="Y51" s="145">
        <v>3.2000000000000002E-3</v>
      </c>
      <c r="Z51" s="145" t="s">
        <v>46</v>
      </c>
      <c r="AA51" s="145">
        <v>1.6000000000000001E-3</v>
      </c>
      <c r="AB51" s="145">
        <v>2E-3</v>
      </c>
      <c r="AC51" s="145" t="s">
        <v>47</v>
      </c>
      <c r="AD51" s="145">
        <v>1.1999999999999999E-3</v>
      </c>
      <c r="AE51" s="145">
        <v>2E-3</v>
      </c>
      <c r="AF51" s="145">
        <v>2.0000000000000001E-4</v>
      </c>
      <c r="AG51" s="145">
        <v>5.0000000000000001E-4</v>
      </c>
      <c r="AH51" s="145">
        <v>3.2000000000000001E-2</v>
      </c>
      <c r="AI51" s="145">
        <v>8.9999999999999993E-3</v>
      </c>
      <c r="AJ51" s="290" t="s">
        <v>92</v>
      </c>
      <c r="AK51" s="147">
        <f t="shared" si="0"/>
        <v>0.5672666666666667</v>
      </c>
      <c r="AL51" s="147">
        <f t="shared" si="1"/>
        <v>0.25836666666666669</v>
      </c>
      <c r="AM51" s="147">
        <f t="shared" si="2"/>
        <v>0.40542153284577331</v>
      </c>
      <c r="AN51" s="292">
        <f t="shared" si="3"/>
        <v>0.33219999999999994</v>
      </c>
      <c r="AO51" s="294">
        <f>100*(J51-J27)/(J8-J27)</f>
        <v>22.807017543859672</v>
      </c>
      <c r="AP51" s="294">
        <f t="shared" ref="AP51:AQ51" si="43">100*(K51-K27)/(K8-K27)</f>
        <v>26.666666666666661</v>
      </c>
      <c r="AQ51" s="294">
        <f t="shared" si="43"/>
        <v>15.909090909090924</v>
      </c>
      <c r="AR51" s="294" t="e">
        <f>100*(O51-O27)/(O8-O27)</f>
        <v>#DIV/0!</v>
      </c>
      <c r="AS51" s="171">
        <f t="shared" ref="AS51:AT51" si="44">100*(P51-P27)/(P8-P27)</f>
        <v>29.850746268656714</v>
      </c>
      <c r="AT51" s="340">
        <f t="shared" si="44"/>
        <v>29.629629629629633</v>
      </c>
    </row>
    <row r="52" spans="2:46" hidden="1" x14ac:dyDescent="0.25">
      <c r="B52" s="275" t="s">
        <v>54</v>
      </c>
      <c r="C52" s="145">
        <v>4710</v>
      </c>
      <c r="D52" s="145" t="s">
        <v>42</v>
      </c>
      <c r="E52" s="145" t="s">
        <v>53</v>
      </c>
      <c r="F52" s="145" t="s">
        <v>83</v>
      </c>
      <c r="G52" s="145" t="s">
        <v>43</v>
      </c>
      <c r="H52" s="151" t="s">
        <v>55</v>
      </c>
      <c r="I52" s="312"/>
      <c r="J52" s="275">
        <v>0.13</v>
      </c>
      <c r="K52" s="145">
        <v>0.43</v>
      </c>
      <c r="L52" s="145">
        <v>1.26</v>
      </c>
      <c r="M52" s="145">
        <v>8.0000000000000002E-3</v>
      </c>
      <c r="N52" s="278">
        <v>5.0000000000000001E-3</v>
      </c>
      <c r="O52" s="145">
        <v>0.42</v>
      </c>
      <c r="P52" s="145">
        <v>1.82</v>
      </c>
      <c r="Q52" s="151">
        <v>0.67</v>
      </c>
      <c r="R52" s="314">
        <v>4.0000000000000001E-3</v>
      </c>
      <c r="S52" s="145">
        <v>0.01</v>
      </c>
      <c r="T52" s="145">
        <v>1.4E-2</v>
      </c>
      <c r="U52" s="145">
        <v>7.0000000000000001E-3</v>
      </c>
      <c r="V52" s="145">
        <v>0.02</v>
      </c>
      <c r="W52" s="145">
        <v>1.9E-2</v>
      </c>
      <c r="X52" s="145">
        <v>2E-3</v>
      </c>
      <c r="Y52" s="145">
        <v>1.2E-2</v>
      </c>
      <c r="Z52" s="145" t="s">
        <v>46</v>
      </c>
      <c r="AA52" s="145">
        <v>2E-3</v>
      </c>
      <c r="AB52" s="145">
        <v>2E-3</v>
      </c>
      <c r="AC52" s="145" t="s">
        <v>47</v>
      </c>
      <c r="AD52" s="145">
        <v>5.0000000000000001E-4</v>
      </c>
      <c r="AE52" s="145">
        <v>2E-3</v>
      </c>
      <c r="AF52" s="145">
        <v>8.0000000000000004E-4</v>
      </c>
      <c r="AG52" s="145">
        <v>1.6999999999999999E-3</v>
      </c>
      <c r="AH52" s="145">
        <v>1.4999999999999999E-2</v>
      </c>
      <c r="AI52" s="145">
        <v>4.0000000000000001E-3</v>
      </c>
      <c r="AJ52" s="290" t="s">
        <v>92</v>
      </c>
      <c r="AK52" s="147">
        <f t="shared" si="0"/>
        <v>0.68346666666666667</v>
      </c>
      <c r="AL52" s="147">
        <f t="shared" si="1"/>
        <v>0.30823333333333336</v>
      </c>
      <c r="AM52" s="147">
        <f t="shared" si="2"/>
        <v>0.56360406061399981</v>
      </c>
      <c r="AN52" s="292">
        <f t="shared" si="3"/>
        <v>0.39050000000000001</v>
      </c>
      <c r="AO52" s="294">
        <f>100*(J52-J30)/(J11-J30)</f>
        <v>43.478260869565212</v>
      </c>
      <c r="AP52" s="294">
        <f t="shared" ref="AP52:AQ52" si="45">100*(K52-K30)/(K11-K30)</f>
        <v>33.333333333333336</v>
      </c>
      <c r="AQ52" s="294">
        <f t="shared" si="45"/>
        <v>0</v>
      </c>
      <c r="AR52" s="294">
        <f>100*(O52-O30)/(O11-O30)</f>
        <v>36.111111111111121</v>
      </c>
      <c r="AS52" s="171">
        <f t="shared" ref="AS52:AT52" si="46">100*(P52-P30)/(P11-P30)</f>
        <v>31.055900621118013</v>
      </c>
      <c r="AT52" s="340">
        <f t="shared" si="46"/>
        <v>39.999999999999936</v>
      </c>
    </row>
    <row r="53" spans="2:46" x14ac:dyDescent="0.25">
      <c r="B53" s="275" t="s">
        <v>54</v>
      </c>
      <c r="C53" s="145">
        <v>4711</v>
      </c>
      <c r="D53" s="145" t="s">
        <v>42</v>
      </c>
      <c r="E53" s="145" t="s">
        <v>53</v>
      </c>
      <c r="F53" s="145" t="s">
        <v>83</v>
      </c>
      <c r="G53" s="145" t="s">
        <v>43</v>
      </c>
      <c r="H53" s="151">
        <v>13</v>
      </c>
      <c r="I53" s="312"/>
      <c r="J53" s="275">
        <v>0.12</v>
      </c>
      <c r="K53" s="145">
        <v>0.48</v>
      </c>
      <c r="L53" s="145">
        <v>1.28</v>
      </c>
      <c r="M53" s="145">
        <v>8.9999999999999993E-3</v>
      </c>
      <c r="N53" s="278">
        <v>7.0000000000000001E-3</v>
      </c>
      <c r="O53" s="145">
        <v>0.5</v>
      </c>
      <c r="P53" s="145">
        <v>2.0699999999999998</v>
      </c>
      <c r="Q53" s="151">
        <v>0.68</v>
      </c>
      <c r="R53" s="314">
        <v>4.0000000000000001E-3</v>
      </c>
      <c r="S53" s="145">
        <v>8.9999999999999993E-3</v>
      </c>
      <c r="T53" s="145">
        <v>0.01</v>
      </c>
      <c r="U53" s="145">
        <v>7.0000000000000001E-3</v>
      </c>
      <c r="V53" s="145">
        <v>2.3E-2</v>
      </c>
      <c r="W53" s="145">
        <v>1.6E-2</v>
      </c>
      <c r="X53" s="145">
        <v>2E-3</v>
      </c>
      <c r="Y53" s="145">
        <v>1.2999999999999999E-2</v>
      </c>
      <c r="Z53" s="145" t="s">
        <v>46</v>
      </c>
      <c r="AA53" s="145">
        <v>2E-3</v>
      </c>
      <c r="AB53" s="145">
        <v>2E-3</v>
      </c>
      <c r="AC53" s="145" t="s">
        <v>47</v>
      </c>
      <c r="AD53" s="145">
        <v>4.0000000000000002E-4</v>
      </c>
      <c r="AE53" s="145">
        <v>3.0000000000000001E-3</v>
      </c>
      <c r="AF53" s="145">
        <v>8.0000000000000004E-4</v>
      </c>
      <c r="AG53" s="145">
        <v>1.2999999999999999E-3</v>
      </c>
      <c r="AH53" s="145">
        <v>3.5000000000000003E-2</v>
      </c>
      <c r="AI53" s="145">
        <v>1.0999999999999999E-2</v>
      </c>
      <c r="AJ53" s="290" t="s">
        <v>92</v>
      </c>
      <c r="AK53" s="147">
        <f t="shared" si="0"/>
        <v>0.71086666666666665</v>
      </c>
      <c r="AL53" s="147">
        <f t="shared" si="1"/>
        <v>0.30898333333333339</v>
      </c>
      <c r="AM53" s="147">
        <f t="shared" si="2"/>
        <v>0.55332499999999996</v>
      </c>
      <c r="AN53" s="292">
        <f t="shared" si="3"/>
        <v>0.39390000000000003</v>
      </c>
      <c r="AO53" s="294">
        <f>100*(J53-J30)/(J11-J30)</f>
        <v>28.985507246376795</v>
      </c>
      <c r="AP53" s="294">
        <f t="shared" ref="AP53:AQ53" si="47">100*(K53-K30)/(K11-K30)</f>
        <v>18.181818181818194</v>
      </c>
      <c r="AQ53" s="294">
        <f t="shared" si="47"/>
        <v>-40</v>
      </c>
      <c r="AR53" s="294">
        <f>100*(O53-O30)/(O11-O30)</f>
        <v>13.8888888888889</v>
      </c>
      <c r="AS53" s="171">
        <f t="shared" ref="AS53:AT53" si="48">100*(P53-P30)/(P11-P30)</f>
        <v>21.350931677018643</v>
      </c>
      <c r="AT53" s="340">
        <f t="shared" si="48"/>
        <v>29.999999999999922</v>
      </c>
    </row>
    <row r="54" spans="2:46" ht="6.75" hidden="1" customHeight="1" x14ac:dyDescent="0.25">
      <c r="B54" s="275"/>
      <c r="C54" s="145"/>
      <c r="D54" s="276"/>
      <c r="E54" s="145"/>
      <c r="F54" s="145"/>
      <c r="G54" s="145"/>
      <c r="H54" s="151"/>
      <c r="I54" s="312"/>
      <c r="J54" s="146"/>
      <c r="K54" s="147"/>
      <c r="L54" s="147"/>
      <c r="M54" s="145"/>
      <c r="N54" s="145"/>
      <c r="O54" s="145"/>
      <c r="P54" s="279"/>
      <c r="Q54" s="151"/>
      <c r="R54" s="314"/>
      <c r="S54" s="145"/>
      <c r="T54" s="145"/>
      <c r="U54" s="145"/>
      <c r="V54" s="145"/>
      <c r="W54" s="145"/>
      <c r="X54" s="278"/>
      <c r="Y54" s="278"/>
      <c r="Z54" s="145"/>
      <c r="AA54" s="145"/>
      <c r="AB54" s="145"/>
      <c r="AC54" s="145"/>
      <c r="AD54" s="145"/>
      <c r="AE54" s="291"/>
      <c r="AF54" s="145"/>
      <c r="AG54" s="145"/>
      <c r="AH54" s="278"/>
      <c r="AI54" s="278"/>
      <c r="AJ54" s="290"/>
      <c r="AK54" s="147"/>
      <c r="AL54" s="147"/>
      <c r="AM54" s="147"/>
      <c r="AN54" s="292"/>
      <c r="AO54" s="145"/>
      <c r="AP54" s="145"/>
      <c r="AQ54" s="145"/>
      <c r="AR54" s="145"/>
      <c r="AS54" s="172"/>
      <c r="AT54" s="151"/>
    </row>
    <row r="55" spans="2:46" x14ac:dyDescent="0.25">
      <c r="B55" s="275" t="s">
        <v>54</v>
      </c>
      <c r="C55" s="145"/>
      <c r="D55" s="145" t="s">
        <v>41</v>
      </c>
      <c r="E55" s="145" t="s">
        <v>51</v>
      </c>
      <c r="F55" s="145" t="s">
        <v>83</v>
      </c>
      <c r="G55" s="145" t="s">
        <v>43</v>
      </c>
      <c r="H55" s="151">
        <v>8</v>
      </c>
      <c r="I55" s="312"/>
      <c r="J55" s="275">
        <v>0.11</v>
      </c>
      <c r="K55" s="145">
        <v>0.54</v>
      </c>
      <c r="L55" s="145">
        <v>1.31</v>
      </c>
      <c r="M55" s="145">
        <v>0.01</v>
      </c>
      <c r="N55" s="278">
        <v>8.9999999999999993E-3</v>
      </c>
      <c r="O55" s="145">
        <v>0.51</v>
      </c>
      <c r="P55" s="145">
        <v>2.41</v>
      </c>
      <c r="Q55" s="151">
        <v>0.62</v>
      </c>
      <c r="R55" s="314">
        <v>4.0000000000000001E-3</v>
      </c>
      <c r="S55" s="145">
        <v>8.0000000000000002E-3</v>
      </c>
      <c r="T55" s="145">
        <v>3.0000000000000001E-3</v>
      </c>
      <c r="U55" s="145">
        <v>5.0000000000000001E-3</v>
      </c>
      <c r="V55" s="145">
        <v>0.02</v>
      </c>
      <c r="W55" s="145">
        <v>8.0000000000000002E-3</v>
      </c>
      <c r="X55" s="145">
        <v>2E-3</v>
      </c>
      <c r="Y55" s="145">
        <v>8.0000000000000002E-3</v>
      </c>
      <c r="Z55" s="145" t="s">
        <v>49</v>
      </c>
      <c r="AA55" s="145">
        <v>3.0000000000000001E-3</v>
      </c>
      <c r="AB55" s="145"/>
      <c r="AC55" s="145" t="s">
        <v>50</v>
      </c>
      <c r="AD55" s="145">
        <v>4.0000000000000002E-4</v>
      </c>
      <c r="AE55" s="145">
        <v>4.0000000000000001E-3</v>
      </c>
      <c r="AF55" s="145">
        <v>6.9999999999999999E-4</v>
      </c>
      <c r="AG55" s="145">
        <v>1.5E-3</v>
      </c>
      <c r="AH55" s="145">
        <v>0.02</v>
      </c>
      <c r="AI55" s="145">
        <v>2E-3</v>
      </c>
      <c r="AJ55" s="290"/>
      <c r="AK55" s="147">
        <f t="shared" si="0"/>
        <v>0.71693333333333342</v>
      </c>
      <c r="AL55" s="147">
        <f t="shared" si="1"/>
        <v>0.30380000000000007</v>
      </c>
      <c r="AM55" s="147">
        <f t="shared" si="2"/>
        <v>0.5235739819121451</v>
      </c>
      <c r="AN55" s="292">
        <f t="shared" si="3"/>
        <v>0.38975000000000004</v>
      </c>
      <c r="AO55" s="294">
        <f>100*(J55-J29)/(J8-J29)</f>
        <v>37.037037037037052</v>
      </c>
      <c r="AP55" s="294">
        <f t="shared" ref="AP55:AQ55" si="49">100*(K55-K29)/(K8-K29)</f>
        <v>-12.500000000000012</v>
      </c>
      <c r="AQ55" s="294">
        <f t="shared" si="49"/>
        <v>9.0909090909091006</v>
      </c>
      <c r="AR55" s="294">
        <f>100*(O55-O29)/(O8-O29)</f>
        <v>0</v>
      </c>
      <c r="AS55" s="171">
        <f t="shared" ref="AS55:AT55" si="50">100*(P55-P29)/(P8-P29)</f>
        <v>11.282437006393375</v>
      </c>
      <c r="AT55" s="340">
        <f t="shared" si="50"/>
        <v>13.207547169811313</v>
      </c>
    </row>
    <row r="56" spans="2:46" hidden="1" x14ac:dyDescent="0.25">
      <c r="B56" s="275" t="s">
        <v>54</v>
      </c>
      <c r="C56" s="145"/>
      <c r="D56" s="145" t="s">
        <v>41</v>
      </c>
      <c r="E56" s="145" t="s">
        <v>51</v>
      </c>
      <c r="F56" s="145" t="s">
        <v>83</v>
      </c>
      <c r="G56" s="145" t="s">
        <v>43</v>
      </c>
      <c r="H56" s="151" t="s">
        <v>56</v>
      </c>
      <c r="I56" s="312"/>
      <c r="J56" s="275">
        <v>0.1</v>
      </c>
      <c r="K56" s="145">
        <v>0.49</v>
      </c>
      <c r="L56" s="145">
        <v>1.23</v>
      </c>
      <c r="M56" s="145">
        <v>0.01</v>
      </c>
      <c r="N56" s="278">
        <v>0.01</v>
      </c>
      <c r="O56" s="145">
        <v>0.49</v>
      </c>
      <c r="P56" s="145">
        <v>2.58</v>
      </c>
      <c r="Q56" s="151">
        <v>0.64</v>
      </c>
      <c r="R56" s="314">
        <v>5.0000000000000001E-3</v>
      </c>
      <c r="S56" s="145">
        <v>8.0000000000000002E-3</v>
      </c>
      <c r="T56" s="145">
        <v>2E-3</v>
      </c>
      <c r="U56" s="145">
        <v>4.0000000000000001E-3</v>
      </c>
      <c r="V56" s="145">
        <v>0.02</v>
      </c>
      <c r="W56" s="145">
        <v>7.0000000000000001E-3</v>
      </c>
      <c r="X56" s="145">
        <v>2E-3</v>
      </c>
      <c r="Y56" s="145">
        <v>8.0000000000000002E-3</v>
      </c>
      <c r="Z56" s="145" t="s">
        <v>49</v>
      </c>
      <c r="AA56" s="145">
        <v>3.0000000000000001E-3</v>
      </c>
      <c r="AB56" s="145"/>
      <c r="AC56" s="145" t="s">
        <v>50</v>
      </c>
      <c r="AD56" s="145">
        <v>4.0000000000000002E-4</v>
      </c>
      <c r="AE56" s="145">
        <v>3.0000000000000001E-3</v>
      </c>
      <c r="AF56" s="145">
        <v>6.9999999999999999E-4</v>
      </c>
      <c r="AG56" s="145">
        <v>1.6000000000000001E-3</v>
      </c>
      <c r="AH56" s="145">
        <v>2.3E-2</v>
      </c>
      <c r="AI56" s="145">
        <v>2E-3</v>
      </c>
      <c r="AJ56" s="290"/>
      <c r="AK56" s="147">
        <f t="shared" si="0"/>
        <v>0.70473333333333332</v>
      </c>
      <c r="AL56" s="147">
        <f t="shared" si="1"/>
        <v>0.29120000000000001</v>
      </c>
      <c r="AM56" s="147">
        <f t="shared" si="2"/>
        <v>0.48183968811332922</v>
      </c>
      <c r="AN56" s="292">
        <f t="shared" si="3"/>
        <v>0.37700000000000006</v>
      </c>
      <c r="AO56" s="294">
        <f>100*(J56-J29)/(J8-J29)</f>
        <v>18.518518518518537</v>
      </c>
      <c r="AP56" s="294">
        <f t="shared" ref="AP56" si="51">100*(K56-K29)/(K8-K29)</f>
        <v>8.333333333333341</v>
      </c>
      <c r="AQ56" s="294">
        <f>100*(L56-L29)/(L8-L29)</f>
        <v>45.454545454545503</v>
      </c>
      <c r="AR56" s="294">
        <f>100*(O56-O29)/(O8-O29)</f>
        <v>8.6956521739130519</v>
      </c>
      <c r="AS56" s="171">
        <f t="shared" ref="AS56:AT56" si="52">100*(P56-P29)/(P8-P29)</f>
        <v>4.8890560361037947</v>
      </c>
      <c r="AT56" s="340">
        <f t="shared" si="52"/>
        <v>9.4339622641509315</v>
      </c>
    </row>
    <row r="57" spans="2:46" hidden="1" x14ac:dyDescent="0.25">
      <c r="B57" s="275" t="s">
        <v>54</v>
      </c>
      <c r="C57" s="145"/>
      <c r="D57" s="145" t="s">
        <v>41</v>
      </c>
      <c r="E57" s="145" t="s">
        <v>52</v>
      </c>
      <c r="F57" s="145" t="s">
        <v>83</v>
      </c>
      <c r="G57" s="145" t="s">
        <v>43</v>
      </c>
      <c r="H57" s="151" t="s">
        <v>55</v>
      </c>
      <c r="I57" s="312"/>
      <c r="J57" s="275">
        <v>0.1</v>
      </c>
      <c r="K57" s="145">
        <v>0.52</v>
      </c>
      <c r="L57" s="145">
        <v>1.45</v>
      </c>
      <c r="M57" s="145">
        <v>1.0999999999999999E-2</v>
      </c>
      <c r="N57" s="278">
        <v>7.0000000000000001E-3</v>
      </c>
      <c r="O57" s="145">
        <v>0.28999999999999998</v>
      </c>
      <c r="P57" s="145">
        <v>1.46</v>
      </c>
      <c r="Q57" s="151">
        <v>0.37</v>
      </c>
      <c r="R57" s="314">
        <v>6.0000000000000001E-3</v>
      </c>
      <c r="S57" s="145">
        <v>8.0000000000000002E-3</v>
      </c>
      <c r="T57" s="145">
        <v>4.0000000000000001E-3</v>
      </c>
      <c r="U57" s="145">
        <v>3.0000000000000001E-3</v>
      </c>
      <c r="V57" s="145">
        <v>0.02</v>
      </c>
      <c r="W57" s="145">
        <v>8.9999999999999993E-3</v>
      </c>
      <c r="X57" s="145">
        <v>2E-3</v>
      </c>
      <c r="Y57" s="145">
        <v>3.0000000000000001E-3</v>
      </c>
      <c r="Z57" s="145" t="s">
        <v>49</v>
      </c>
      <c r="AA57" s="145">
        <v>2E-3</v>
      </c>
      <c r="AB57" s="145"/>
      <c r="AC57" s="145" t="s">
        <v>50</v>
      </c>
      <c r="AD57" s="145">
        <v>1.1000000000000001E-3</v>
      </c>
      <c r="AE57" s="145">
        <v>2E-3</v>
      </c>
      <c r="AF57" s="145">
        <v>2.0000000000000001E-4</v>
      </c>
      <c r="AG57" s="145">
        <v>5.0000000000000001E-4</v>
      </c>
      <c r="AH57" s="145">
        <v>0.02</v>
      </c>
      <c r="AI57" s="145">
        <v>6.0000000000000001E-3</v>
      </c>
      <c r="AJ57" s="290"/>
      <c r="AK57" s="147">
        <f t="shared" si="0"/>
        <v>0.57313333333333338</v>
      </c>
      <c r="AL57" s="147">
        <f t="shared" si="1"/>
        <v>0.26023333333333337</v>
      </c>
      <c r="AM57" s="147">
        <f t="shared" si="2"/>
        <v>0.4085546772117431</v>
      </c>
      <c r="AN57" s="292">
        <f t="shared" si="3"/>
        <v>0.33399999999999996</v>
      </c>
      <c r="AO57" s="294">
        <f>100*(J57-J27)/(J8-J27)</f>
        <v>22.807017543859672</v>
      </c>
      <c r="AP57" s="294">
        <f t="shared" ref="AP57:AQ57" si="53">100*(K57-K27)/(K8-K27)</f>
        <v>16.666666666666647</v>
      </c>
      <c r="AQ57" s="294">
        <f t="shared" si="53"/>
        <v>22.727272727272751</v>
      </c>
      <c r="AR57" s="294" t="e">
        <f>100*(O57-O27)/(O8-O27)</f>
        <v>#DIV/0!</v>
      </c>
      <c r="AS57" s="171">
        <f t="shared" ref="AS57:AT57" si="54">100*(P57-P27)/(P8-P27)</f>
        <v>22.111663902708685</v>
      </c>
      <c r="AT57" s="340">
        <f t="shared" si="54"/>
        <v>22.222222222222221</v>
      </c>
    </row>
    <row r="58" spans="2:46" x14ac:dyDescent="0.25">
      <c r="B58" s="275" t="s">
        <v>54</v>
      </c>
      <c r="C58" s="145"/>
      <c r="D58" s="145" t="s">
        <v>41</v>
      </c>
      <c r="E58" s="145" t="s">
        <v>52</v>
      </c>
      <c r="F58" s="145" t="s">
        <v>83</v>
      </c>
      <c r="G58" s="145" t="s">
        <v>43</v>
      </c>
      <c r="H58" s="151">
        <v>12</v>
      </c>
      <c r="I58" s="312"/>
      <c r="J58" s="275">
        <v>0.1</v>
      </c>
      <c r="K58" s="145">
        <v>0.54</v>
      </c>
      <c r="L58" s="145">
        <v>1.54</v>
      </c>
      <c r="M58" s="145">
        <v>0.01</v>
      </c>
      <c r="N58" s="278">
        <v>7.0000000000000001E-3</v>
      </c>
      <c r="O58" s="145">
        <v>0.28999999999999998</v>
      </c>
      <c r="P58" s="145">
        <v>1.57</v>
      </c>
      <c r="Q58" s="151">
        <v>0.38</v>
      </c>
      <c r="R58" s="314">
        <v>6.0000000000000001E-3</v>
      </c>
      <c r="S58" s="145">
        <v>7.0000000000000001E-3</v>
      </c>
      <c r="T58" s="145">
        <v>4.0000000000000001E-3</v>
      </c>
      <c r="U58" s="145">
        <v>4.0000000000000001E-3</v>
      </c>
      <c r="V58" s="145">
        <v>0.03</v>
      </c>
      <c r="W58" s="145">
        <v>7.0000000000000001E-3</v>
      </c>
      <c r="X58" s="145">
        <v>2E-3</v>
      </c>
      <c r="Y58" s="145">
        <v>3.0000000000000001E-3</v>
      </c>
      <c r="Z58" s="145" t="s">
        <v>49</v>
      </c>
      <c r="AA58" s="145">
        <v>2E-3</v>
      </c>
      <c r="AB58" s="145"/>
      <c r="AC58" s="145" t="s">
        <v>50</v>
      </c>
      <c r="AD58" s="145">
        <v>8.9999999999999998E-4</v>
      </c>
      <c r="AE58" s="145">
        <v>3.0000000000000001E-3</v>
      </c>
      <c r="AF58" s="145">
        <v>2.0000000000000001E-4</v>
      </c>
      <c r="AG58" s="145">
        <v>5.0000000000000001E-4</v>
      </c>
      <c r="AH58" s="145">
        <v>2.8000000000000001E-2</v>
      </c>
      <c r="AI58" s="145">
        <v>5.0000000000000001E-3</v>
      </c>
      <c r="AJ58" s="290"/>
      <c r="AK58" s="147">
        <f t="shared" si="0"/>
        <v>0.59813333333333341</v>
      </c>
      <c r="AL58" s="147">
        <f t="shared" si="1"/>
        <v>0.26740000000000003</v>
      </c>
      <c r="AM58" s="147">
        <f t="shared" si="2"/>
        <v>0.42440598599009904</v>
      </c>
      <c r="AN58" s="292">
        <f t="shared" si="3"/>
        <v>0.34725</v>
      </c>
      <c r="AO58" s="294">
        <f>100*(J58-J25)/(J8-J25)</f>
        <v>0</v>
      </c>
      <c r="AP58" s="294">
        <f t="shared" ref="AP58:AQ58" si="55">100*(K58-K25)/(K8-K25)</f>
        <v>46</v>
      </c>
      <c r="AQ58" s="294">
        <f t="shared" si="55"/>
        <v>42.666666666666679</v>
      </c>
      <c r="AR58" s="294" t="e">
        <f>100*(O58-O27)/(O8-O27)</f>
        <v>#DIV/0!</v>
      </c>
      <c r="AS58" s="171">
        <f t="shared" ref="AS58:AT58" si="56">100*(P58-P27)/(P8-P27)</f>
        <v>16.030956329463791</v>
      </c>
      <c r="AT58" s="340">
        <f t="shared" si="56"/>
        <v>18.518518518518515</v>
      </c>
    </row>
    <row r="59" spans="2:46" x14ac:dyDescent="0.25">
      <c r="B59" s="275" t="s">
        <v>54</v>
      </c>
      <c r="C59" s="145"/>
      <c r="D59" s="145" t="s">
        <v>42</v>
      </c>
      <c r="E59" s="145" t="s">
        <v>57</v>
      </c>
      <c r="F59" s="145" t="s">
        <v>83</v>
      </c>
      <c r="G59" s="145" t="s">
        <v>43</v>
      </c>
      <c r="H59" s="151">
        <v>7</v>
      </c>
      <c r="I59" s="312"/>
      <c r="J59" s="275">
        <v>9.2999999999999999E-2</v>
      </c>
      <c r="K59" s="145">
        <v>0.68</v>
      </c>
      <c r="L59" s="145">
        <v>1.57</v>
      </c>
      <c r="M59" s="145">
        <v>4.0000000000000001E-3</v>
      </c>
      <c r="N59" s="278">
        <v>3.0000000000000001E-3</v>
      </c>
      <c r="O59" s="145">
        <v>0.38</v>
      </c>
      <c r="P59" s="279">
        <v>2</v>
      </c>
      <c r="Q59" s="151">
        <v>0.55000000000000004</v>
      </c>
      <c r="R59" s="314">
        <v>7.0000000000000001E-3</v>
      </c>
      <c r="S59" s="145">
        <v>8.9999999999999993E-3</v>
      </c>
      <c r="T59" s="145">
        <v>0.01</v>
      </c>
      <c r="U59" s="145">
        <v>6.0000000000000001E-3</v>
      </c>
      <c r="V59" s="145">
        <v>0.03</v>
      </c>
      <c r="W59" s="145">
        <v>1.0999999999999999E-2</v>
      </c>
      <c r="X59" s="145">
        <v>4.0000000000000001E-3</v>
      </c>
      <c r="Y59" s="145">
        <v>2.4E-2</v>
      </c>
      <c r="Z59" s="145" t="s">
        <v>49</v>
      </c>
      <c r="AA59" s="145">
        <v>3.0000000000000001E-3</v>
      </c>
      <c r="AB59" s="145"/>
      <c r="AC59" s="145" t="s">
        <v>50</v>
      </c>
      <c r="AD59" s="145">
        <v>6.9999999999999999E-4</v>
      </c>
      <c r="AE59" s="145">
        <v>4.0000000000000001E-3</v>
      </c>
      <c r="AF59" s="145">
        <v>1E-4</v>
      </c>
      <c r="AG59" s="145">
        <v>5.0000000000000001E-4</v>
      </c>
      <c r="AH59" s="145">
        <v>2.3E-2</v>
      </c>
      <c r="AI59" s="145">
        <v>8.0000000000000002E-3</v>
      </c>
      <c r="AJ59" s="290"/>
      <c r="AK59" s="147">
        <f t="shared" si="0"/>
        <v>0.67799999999999994</v>
      </c>
      <c r="AL59" s="147">
        <f t="shared" si="1"/>
        <v>0.28916666666666663</v>
      </c>
      <c r="AM59" s="147">
        <f t="shared" si="2"/>
        <v>0.45726884844207549</v>
      </c>
      <c r="AN59" s="292">
        <f t="shared" si="3"/>
        <v>0.3755</v>
      </c>
      <c r="AO59" s="294">
        <f>100*(J59-J28)/(J11-J28)</f>
        <v>12.643678160919535</v>
      </c>
      <c r="AP59" s="294">
        <f t="shared" ref="AP59:AQ59" si="57">100*(K59-K28)/(K11-K28)</f>
        <v>4.0816326530612059</v>
      </c>
      <c r="AQ59" s="294">
        <f t="shared" si="57"/>
        <v>7.692307692307697</v>
      </c>
      <c r="AR59" s="294">
        <f>100*(O59-O28)/(O11-O28)</f>
        <v>5.0000000000000044</v>
      </c>
      <c r="AS59" s="171">
        <f t="shared" ref="AS59:AT59" si="58">100*(P59-P28)/(P11-P28)</f>
        <v>10.928961748633888</v>
      </c>
      <c r="AT59" s="340">
        <f t="shared" si="58"/>
        <v>0</v>
      </c>
    </row>
    <row r="60" spans="2:46" hidden="1" x14ac:dyDescent="0.25">
      <c r="B60" s="275" t="s">
        <v>54</v>
      </c>
      <c r="C60" s="145"/>
      <c r="D60" s="145" t="s">
        <v>42</v>
      </c>
      <c r="E60" s="145" t="s">
        <v>57</v>
      </c>
      <c r="F60" s="145" t="s">
        <v>83</v>
      </c>
      <c r="G60" s="145" t="s">
        <v>43</v>
      </c>
      <c r="H60" s="151" t="s">
        <v>56</v>
      </c>
      <c r="I60" s="312"/>
      <c r="J60" s="316" t="s">
        <v>80</v>
      </c>
      <c r="K60" s="290"/>
      <c r="L60" s="290"/>
      <c r="M60" s="290"/>
      <c r="N60" s="290"/>
      <c r="O60" s="290"/>
      <c r="P60" s="290"/>
      <c r="Q60" s="317"/>
      <c r="R60" s="315"/>
      <c r="S60" s="290"/>
      <c r="T60" s="290"/>
      <c r="U60" s="290"/>
      <c r="V60" s="290"/>
      <c r="W60" s="290"/>
      <c r="X60" s="290"/>
      <c r="Y60" s="290"/>
      <c r="Z60" s="290"/>
      <c r="AA60" s="290"/>
      <c r="AB60" s="290"/>
      <c r="AC60" s="290"/>
      <c r="AD60" s="290"/>
      <c r="AE60" s="290"/>
      <c r="AF60" s="290"/>
      <c r="AG60" s="290"/>
      <c r="AH60" s="290"/>
      <c r="AI60" s="290"/>
      <c r="AJ60" s="290"/>
      <c r="AK60" s="147"/>
      <c r="AL60" s="147"/>
      <c r="AM60" s="147"/>
      <c r="AN60" s="292"/>
      <c r="AO60" s="145"/>
      <c r="AP60" s="145"/>
      <c r="AQ60" s="145"/>
      <c r="AR60" s="145"/>
      <c r="AS60" s="172"/>
      <c r="AT60" s="151"/>
    </row>
    <row r="61" spans="2:46" hidden="1" x14ac:dyDescent="0.25">
      <c r="B61" s="275" t="s">
        <v>54</v>
      </c>
      <c r="C61" s="145"/>
      <c r="D61" s="145" t="s">
        <v>42</v>
      </c>
      <c r="E61" s="145" t="s">
        <v>53</v>
      </c>
      <c r="F61" s="145" t="s">
        <v>83</v>
      </c>
      <c r="G61" s="145" t="s">
        <v>43</v>
      </c>
      <c r="H61" s="151" t="s">
        <v>55</v>
      </c>
      <c r="I61" s="312"/>
      <c r="J61" s="316" t="s">
        <v>78</v>
      </c>
      <c r="K61" s="290"/>
      <c r="L61" s="290"/>
      <c r="M61" s="290"/>
      <c r="N61" s="290"/>
      <c r="O61" s="290"/>
      <c r="P61" s="290"/>
      <c r="Q61" s="317"/>
      <c r="R61" s="315"/>
      <c r="S61" s="290"/>
      <c r="T61" s="290"/>
      <c r="U61" s="290"/>
      <c r="V61" s="290"/>
      <c r="W61" s="290"/>
      <c r="X61" s="290"/>
      <c r="Y61" s="290"/>
      <c r="Z61" s="290"/>
      <c r="AA61" s="290"/>
      <c r="AB61" s="290"/>
      <c r="AC61" s="290"/>
      <c r="AD61" s="290"/>
      <c r="AE61" s="290"/>
      <c r="AF61" s="290"/>
      <c r="AG61" s="290"/>
      <c r="AH61" s="290"/>
      <c r="AI61" s="290"/>
      <c r="AJ61" s="290"/>
      <c r="AK61" s="147"/>
      <c r="AL61" s="147"/>
      <c r="AM61" s="147"/>
      <c r="AN61" s="292"/>
      <c r="AO61" s="145"/>
      <c r="AP61" s="145"/>
      <c r="AQ61" s="145"/>
      <c r="AR61" s="145"/>
      <c r="AS61" s="172"/>
      <c r="AT61" s="151"/>
    </row>
    <row r="62" spans="2:46" hidden="1" x14ac:dyDescent="0.25">
      <c r="B62" s="275" t="s">
        <v>54</v>
      </c>
      <c r="C62" s="145"/>
      <c r="D62" s="145" t="s">
        <v>42</v>
      </c>
      <c r="E62" s="145" t="s">
        <v>53</v>
      </c>
      <c r="F62" s="145" t="s">
        <v>83</v>
      </c>
      <c r="G62" s="145" t="s">
        <v>43</v>
      </c>
      <c r="H62" s="151" t="s">
        <v>56</v>
      </c>
      <c r="I62" s="312"/>
      <c r="J62" s="316" t="s">
        <v>80</v>
      </c>
      <c r="K62" s="290"/>
      <c r="L62" s="290"/>
      <c r="M62" s="290"/>
      <c r="N62" s="290"/>
      <c r="O62" s="290"/>
      <c r="P62" s="290"/>
      <c r="Q62" s="317"/>
      <c r="R62" s="315"/>
      <c r="S62" s="290"/>
      <c r="T62" s="290"/>
      <c r="U62" s="290"/>
      <c r="V62" s="290"/>
      <c r="W62" s="290"/>
      <c r="X62" s="290"/>
      <c r="Y62" s="290"/>
      <c r="Z62" s="290"/>
      <c r="AA62" s="290"/>
      <c r="AB62" s="290"/>
      <c r="AC62" s="290"/>
      <c r="AD62" s="290"/>
      <c r="AE62" s="290"/>
      <c r="AF62" s="290"/>
      <c r="AG62" s="290"/>
      <c r="AH62" s="290"/>
      <c r="AI62" s="290"/>
      <c r="AJ62" s="290"/>
      <c r="AK62" s="147"/>
      <c r="AL62" s="147"/>
      <c r="AM62" s="147"/>
      <c r="AN62" s="292"/>
      <c r="AO62" s="145"/>
      <c r="AP62" s="145"/>
      <c r="AQ62" s="145"/>
      <c r="AR62" s="145"/>
      <c r="AS62" s="172"/>
      <c r="AT62" s="151"/>
    </row>
    <row r="63" spans="2:46" ht="6.75" hidden="1" customHeight="1" thickBot="1" x14ac:dyDescent="0.3">
      <c r="B63" s="275"/>
      <c r="C63" s="145"/>
      <c r="D63" s="276"/>
      <c r="E63" s="145"/>
      <c r="F63" s="145"/>
      <c r="G63" s="145"/>
      <c r="H63" s="151"/>
      <c r="I63" s="312"/>
      <c r="J63" s="146"/>
      <c r="K63" s="147"/>
      <c r="L63" s="147"/>
      <c r="M63" s="145"/>
      <c r="N63" s="145"/>
      <c r="O63" s="145"/>
      <c r="P63" s="279"/>
      <c r="Q63" s="151"/>
      <c r="R63" s="314"/>
      <c r="S63" s="145"/>
      <c r="T63" s="145"/>
      <c r="U63" s="145"/>
      <c r="V63" s="145"/>
      <c r="W63" s="145"/>
      <c r="X63" s="278"/>
      <c r="Y63" s="278"/>
      <c r="Z63" s="145"/>
      <c r="AA63" s="145"/>
      <c r="AB63" s="145"/>
      <c r="AC63" s="145"/>
      <c r="AD63" s="145"/>
      <c r="AE63" s="291"/>
      <c r="AF63" s="145"/>
      <c r="AG63" s="145"/>
      <c r="AH63" s="278"/>
      <c r="AI63" s="278"/>
      <c r="AJ63" s="290"/>
      <c r="AK63" s="147"/>
      <c r="AL63" s="147"/>
      <c r="AM63" s="147"/>
      <c r="AN63" s="292"/>
      <c r="AO63" s="145"/>
      <c r="AP63" s="145"/>
      <c r="AQ63" s="145"/>
      <c r="AR63" s="145"/>
      <c r="AS63" s="172"/>
      <c r="AT63" s="151"/>
    </row>
    <row r="64" spans="2:46" hidden="1" x14ac:dyDescent="0.25">
      <c r="B64" s="275" t="s">
        <v>76</v>
      </c>
      <c r="C64" s="145"/>
      <c r="D64" s="145" t="s">
        <v>41</v>
      </c>
      <c r="E64" s="145" t="s">
        <v>51</v>
      </c>
      <c r="F64" s="145" t="s">
        <v>83</v>
      </c>
      <c r="G64" s="145"/>
      <c r="H64" s="151"/>
      <c r="I64" s="312"/>
      <c r="J64" s="318"/>
      <c r="K64" s="290"/>
      <c r="L64" s="290"/>
      <c r="M64" s="290"/>
      <c r="N64" s="290"/>
      <c r="O64" s="290"/>
      <c r="P64" s="290"/>
      <c r="Q64" s="317"/>
      <c r="R64" s="315"/>
      <c r="S64" s="290"/>
      <c r="T64" s="290"/>
      <c r="U64" s="290"/>
      <c r="V64" s="290"/>
      <c r="W64" s="290"/>
      <c r="X64" s="290"/>
      <c r="Y64" s="290"/>
      <c r="Z64" s="290"/>
      <c r="AA64" s="290"/>
      <c r="AB64" s="290"/>
      <c r="AC64" s="290"/>
      <c r="AD64" s="290"/>
      <c r="AE64" s="290"/>
      <c r="AF64" s="290"/>
      <c r="AG64" s="290"/>
      <c r="AH64" s="290"/>
      <c r="AI64" s="290"/>
      <c r="AJ64" s="290"/>
      <c r="AK64" s="147">
        <f t="shared" si="0"/>
        <v>0</v>
      </c>
      <c r="AL64" s="147">
        <f t="shared" si="1"/>
        <v>0</v>
      </c>
      <c r="AM64" s="147">
        <f t="shared" si="2"/>
        <v>0</v>
      </c>
      <c r="AN64" s="292">
        <f t="shared" si="3"/>
        <v>0</v>
      </c>
      <c r="AO64" s="145"/>
      <c r="AP64" s="145"/>
      <c r="AQ64" s="145"/>
      <c r="AR64" s="145"/>
      <c r="AS64" s="172"/>
      <c r="AT64" s="151"/>
    </row>
    <row r="65" spans="2:46" hidden="1" x14ac:dyDescent="0.25">
      <c r="B65" s="275" t="s">
        <v>76</v>
      </c>
      <c r="C65" s="145"/>
      <c r="D65" s="145" t="s">
        <v>41</v>
      </c>
      <c r="E65" s="145" t="s">
        <v>51</v>
      </c>
      <c r="F65" s="145" t="s">
        <v>83</v>
      </c>
      <c r="G65" s="145"/>
      <c r="H65" s="151"/>
      <c r="I65" s="312"/>
      <c r="J65" s="318"/>
      <c r="K65" s="290"/>
      <c r="L65" s="290"/>
      <c r="M65" s="290"/>
      <c r="N65" s="290"/>
      <c r="O65" s="290"/>
      <c r="P65" s="290"/>
      <c r="Q65" s="317"/>
      <c r="R65" s="315"/>
      <c r="S65" s="290"/>
      <c r="T65" s="290"/>
      <c r="U65" s="290"/>
      <c r="V65" s="290"/>
      <c r="W65" s="290"/>
      <c r="X65" s="290"/>
      <c r="Y65" s="290"/>
      <c r="Z65" s="290"/>
      <c r="AA65" s="290"/>
      <c r="AB65" s="290"/>
      <c r="AC65" s="290"/>
      <c r="AD65" s="290"/>
      <c r="AE65" s="290"/>
      <c r="AF65" s="290"/>
      <c r="AG65" s="290"/>
      <c r="AH65" s="290"/>
      <c r="AI65" s="290"/>
      <c r="AJ65" s="290"/>
      <c r="AK65" s="147">
        <f t="shared" si="0"/>
        <v>0</v>
      </c>
      <c r="AL65" s="147">
        <f t="shared" si="1"/>
        <v>0</v>
      </c>
      <c r="AM65" s="147">
        <f t="shared" si="2"/>
        <v>0</v>
      </c>
      <c r="AN65" s="292">
        <f t="shared" si="3"/>
        <v>0</v>
      </c>
      <c r="AO65" s="145"/>
      <c r="AP65" s="145"/>
      <c r="AQ65" s="145"/>
      <c r="AR65" s="145"/>
      <c r="AS65" s="172"/>
      <c r="AT65" s="151"/>
    </row>
    <row r="66" spans="2:46" hidden="1" x14ac:dyDescent="0.25">
      <c r="B66" s="275" t="s">
        <v>76</v>
      </c>
      <c r="C66" s="145"/>
      <c r="D66" s="145" t="s">
        <v>41</v>
      </c>
      <c r="E66" s="145" t="s">
        <v>52</v>
      </c>
      <c r="F66" s="145" t="s">
        <v>83</v>
      </c>
      <c r="G66" s="145"/>
      <c r="H66" s="151"/>
      <c r="I66" s="312"/>
      <c r="J66" s="318"/>
      <c r="K66" s="290"/>
      <c r="L66" s="290"/>
      <c r="M66" s="290"/>
      <c r="N66" s="290"/>
      <c r="O66" s="290"/>
      <c r="P66" s="290"/>
      <c r="Q66" s="317"/>
      <c r="R66" s="315"/>
      <c r="S66" s="290"/>
      <c r="T66" s="290"/>
      <c r="U66" s="290"/>
      <c r="V66" s="290"/>
      <c r="W66" s="290"/>
      <c r="X66" s="290"/>
      <c r="Y66" s="290"/>
      <c r="Z66" s="290"/>
      <c r="AA66" s="290"/>
      <c r="AB66" s="290"/>
      <c r="AC66" s="290"/>
      <c r="AD66" s="290"/>
      <c r="AE66" s="290"/>
      <c r="AF66" s="290"/>
      <c r="AG66" s="290"/>
      <c r="AH66" s="290"/>
      <c r="AI66" s="290"/>
      <c r="AJ66" s="290"/>
      <c r="AK66" s="147">
        <f t="shared" si="0"/>
        <v>0</v>
      </c>
      <c r="AL66" s="147">
        <f t="shared" si="1"/>
        <v>0</v>
      </c>
      <c r="AM66" s="147">
        <f t="shared" si="2"/>
        <v>0</v>
      </c>
      <c r="AN66" s="292">
        <f t="shared" si="3"/>
        <v>0</v>
      </c>
      <c r="AO66" s="145"/>
      <c r="AP66" s="145"/>
      <c r="AQ66" s="145"/>
      <c r="AR66" s="145"/>
      <c r="AS66" s="172"/>
      <c r="AT66" s="151"/>
    </row>
    <row r="67" spans="2:46" hidden="1" x14ac:dyDescent="0.25">
      <c r="B67" s="275" t="s">
        <v>76</v>
      </c>
      <c r="C67" s="145"/>
      <c r="D67" s="145" t="s">
        <v>41</v>
      </c>
      <c r="E67" s="145" t="s">
        <v>52</v>
      </c>
      <c r="F67" s="145" t="s">
        <v>83</v>
      </c>
      <c r="G67" s="145"/>
      <c r="H67" s="151"/>
      <c r="I67" s="312"/>
      <c r="J67" s="318"/>
      <c r="K67" s="290"/>
      <c r="L67" s="290"/>
      <c r="M67" s="290"/>
      <c r="N67" s="290"/>
      <c r="O67" s="290"/>
      <c r="P67" s="290"/>
      <c r="Q67" s="317"/>
      <c r="R67" s="315"/>
      <c r="S67" s="290"/>
      <c r="T67" s="290"/>
      <c r="U67" s="290"/>
      <c r="V67" s="290"/>
      <c r="W67" s="290"/>
      <c r="X67" s="290"/>
      <c r="Y67" s="290"/>
      <c r="Z67" s="290"/>
      <c r="AA67" s="290"/>
      <c r="AB67" s="290"/>
      <c r="AC67" s="290"/>
      <c r="AD67" s="290"/>
      <c r="AE67" s="290"/>
      <c r="AF67" s="290"/>
      <c r="AG67" s="290"/>
      <c r="AH67" s="290"/>
      <c r="AI67" s="290"/>
      <c r="AJ67" s="290"/>
      <c r="AK67" s="147">
        <f t="shared" si="0"/>
        <v>0</v>
      </c>
      <c r="AL67" s="147">
        <f t="shared" si="1"/>
        <v>0</v>
      </c>
      <c r="AM67" s="147">
        <f t="shared" si="2"/>
        <v>0</v>
      </c>
      <c r="AN67" s="292">
        <f t="shared" si="3"/>
        <v>0</v>
      </c>
      <c r="AO67" s="145"/>
      <c r="AP67" s="145"/>
      <c r="AQ67" s="145"/>
      <c r="AR67" s="145"/>
      <c r="AS67" s="172"/>
      <c r="AT67" s="151"/>
    </row>
    <row r="68" spans="2:46" hidden="1" x14ac:dyDescent="0.25">
      <c r="B68" s="275" t="s">
        <v>76</v>
      </c>
      <c r="C68" s="145"/>
      <c r="D68" s="145" t="s">
        <v>42</v>
      </c>
      <c r="E68" s="145" t="s">
        <v>53</v>
      </c>
      <c r="F68" s="145" t="s">
        <v>83</v>
      </c>
      <c r="G68" s="145"/>
      <c r="H68" s="151"/>
      <c r="I68" s="312"/>
      <c r="J68" s="318"/>
      <c r="K68" s="290"/>
      <c r="L68" s="290"/>
      <c r="M68" s="290"/>
      <c r="N68" s="290"/>
      <c r="O68" s="290"/>
      <c r="P68" s="290"/>
      <c r="Q68" s="317"/>
      <c r="R68" s="315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147">
        <f t="shared" si="0"/>
        <v>0</v>
      </c>
      <c r="AL68" s="147">
        <f t="shared" si="1"/>
        <v>0</v>
      </c>
      <c r="AM68" s="147">
        <f t="shared" si="2"/>
        <v>0</v>
      </c>
      <c r="AN68" s="292">
        <f t="shared" si="3"/>
        <v>0</v>
      </c>
      <c r="AO68" s="145"/>
      <c r="AP68" s="145"/>
      <c r="AQ68" s="145"/>
      <c r="AR68" s="145"/>
      <c r="AS68" s="172"/>
      <c r="AT68" s="151"/>
    </row>
    <row r="69" spans="2:46" hidden="1" x14ac:dyDescent="0.25">
      <c r="B69" s="275" t="s">
        <v>76</v>
      </c>
      <c r="C69" s="145"/>
      <c r="D69" s="145" t="s">
        <v>42</v>
      </c>
      <c r="E69" s="145" t="s">
        <v>53</v>
      </c>
      <c r="F69" s="145" t="s">
        <v>83</v>
      </c>
      <c r="G69" s="145"/>
      <c r="H69" s="151"/>
      <c r="I69" s="312"/>
      <c r="J69" s="318"/>
      <c r="K69" s="290"/>
      <c r="L69" s="290"/>
      <c r="M69" s="290"/>
      <c r="N69" s="290"/>
      <c r="O69" s="290"/>
      <c r="P69" s="290"/>
      <c r="Q69" s="317"/>
      <c r="R69" s="315"/>
      <c r="S69" s="290"/>
      <c r="T69" s="290"/>
      <c r="U69" s="290"/>
      <c r="V69" s="290"/>
      <c r="W69" s="290"/>
      <c r="X69" s="290"/>
      <c r="Y69" s="290"/>
      <c r="Z69" s="290"/>
      <c r="AA69" s="290"/>
      <c r="AB69" s="290"/>
      <c r="AC69" s="290"/>
      <c r="AD69" s="290"/>
      <c r="AE69" s="290"/>
      <c r="AF69" s="290"/>
      <c r="AG69" s="290"/>
      <c r="AH69" s="290"/>
      <c r="AI69" s="290"/>
      <c r="AJ69" s="290"/>
      <c r="AK69" s="147">
        <f t="shared" si="0"/>
        <v>0</v>
      </c>
      <c r="AL69" s="147">
        <f t="shared" si="1"/>
        <v>0</v>
      </c>
      <c r="AM69" s="147">
        <f t="shared" si="2"/>
        <v>0</v>
      </c>
      <c r="AN69" s="292">
        <f t="shared" si="3"/>
        <v>0</v>
      </c>
      <c r="AO69" s="145"/>
      <c r="AP69" s="145"/>
      <c r="AQ69" s="145"/>
      <c r="AR69" s="145"/>
      <c r="AS69" s="172"/>
      <c r="AT69" s="151"/>
    </row>
    <row r="70" spans="2:46" hidden="1" x14ac:dyDescent="0.25">
      <c r="B70" s="275" t="s">
        <v>76</v>
      </c>
      <c r="C70" s="145"/>
      <c r="D70" s="145" t="s">
        <v>42</v>
      </c>
      <c r="E70" s="145" t="s">
        <v>57</v>
      </c>
      <c r="F70" s="145" t="s">
        <v>83</v>
      </c>
      <c r="G70" s="145"/>
      <c r="H70" s="151"/>
      <c r="I70" s="312"/>
      <c r="J70" s="318"/>
      <c r="K70" s="290"/>
      <c r="L70" s="290"/>
      <c r="M70" s="290"/>
      <c r="N70" s="290"/>
      <c r="O70" s="290"/>
      <c r="P70" s="290"/>
      <c r="Q70" s="317"/>
      <c r="R70" s="315"/>
      <c r="S70" s="290"/>
      <c r="T70" s="290"/>
      <c r="U70" s="290"/>
      <c r="V70" s="290"/>
      <c r="W70" s="290"/>
      <c r="X70" s="290"/>
      <c r="Y70" s="290"/>
      <c r="Z70" s="290"/>
      <c r="AA70" s="290"/>
      <c r="AB70" s="290"/>
      <c r="AC70" s="290"/>
      <c r="AD70" s="290"/>
      <c r="AE70" s="290"/>
      <c r="AF70" s="290"/>
      <c r="AG70" s="290"/>
      <c r="AH70" s="290"/>
      <c r="AI70" s="290"/>
      <c r="AJ70" s="290"/>
      <c r="AK70" s="147">
        <f t="shared" si="0"/>
        <v>0</v>
      </c>
      <c r="AL70" s="147">
        <f t="shared" si="1"/>
        <v>0</v>
      </c>
      <c r="AM70" s="147">
        <f t="shared" si="2"/>
        <v>0</v>
      </c>
      <c r="AN70" s="292">
        <f t="shared" si="3"/>
        <v>0</v>
      </c>
      <c r="AO70" s="145"/>
      <c r="AP70" s="145"/>
      <c r="AQ70" s="145"/>
      <c r="AR70" s="145"/>
      <c r="AS70" s="172"/>
      <c r="AT70" s="151"/>
    </row>
    <row r="71" spans="2:46" hidden="1" x14ac:dyDescent="0.25">
      <c r="B71" s="275" t="s">
        <v>76</v>
      </c>
      <c r="C71" s="145"/>
      <c r="D71" s="145" t="s">
        <v>42</v>
      </c>
      <c r="E71" s="145" t="s">
        <v>57</v>
      </c>
      <c r="F71" s="145" t="s">
        <v>83</v>
      </c>
      <c r="G71" s="145"/>
      <c r="H71" s="151"/>
      <c r="I71" s="312"/>
      <c r="J71" s="318"/>
      <c r="K71" s="290"/>
      <c r="L71" s="290"/>
      <c r="M71" s="290"/>
      <c r="N71" s="290"/>
      <c r="O71" s="290"/>
      <c r="P71" s="290"/>
      <c r="Q71" s="317"/>
      <c r="R71" s="315"/>
      <c r="S71" s="290"/>
      <c r="T71" s="290"/>
      <c r="U71" s="290"/>
      <c r="V71" s="290"/>
      <c r="W71" s="290"/>
      <c r="X71" s="290"/>
      <c r="Y71" s="290"/>
      <c r="Z71" s="290"/>
      <c r="AA71" s="290"/>
      <c r="AB71" s="290"/>
      <c r="AC71" s="290"/>
      <c r="AD71" s="290"/>
      <c r="AE71" s="290"/>
      <c r="AF71" s="290"/>
      <c r="AG71" s="290"/>
      <c r="AH71" s="290"/>
      <c r="AI71" s="290"/>
      <c r="AJ71" s="290"/>
      <c r="AK71" s="147">
        <f t="shared" ref="AK71:AK92" si="59">J71+L71/6+V71/15+P71/15+O71/5+Q71/5+T71/5</f>
        <v>0</v>
      </c>
      <c r="AL71" s="147">
        <f t="shared" ref="AL71:AL92" si="60">J71+K71/30+L71/20+V71/20+P71/60+O71/20+Q71/15+T71/10+5*AD71</f>
        <v>0</v>
      </c>
      <c r="AM71" s="147">
        <f t="shared" ref="AM71:AM92" si="61">J71+(0.75+0.25*TANH(20*(J71-0.12)))*(K71/24+L71/6+V71/15+P71/20+O71/5+Q71/5+U71/5+T71/5)</f>
        <v>0</v>
      </c>
      <c r="AN71" s="292">
        <f t="shared" ref="AN71:AN92" si="62">J71+L71/10+Q71/10+O71/20+V71/20+P71/40</f>
        <v>0</v>
      </c>
      <c r="AO71" s="145"/>
      <c r="AP71" s="145"/>
      <c r="AQ71" s="145"/>
      <c r="AR71" s="145"/>
      <c r="AS71" s="172"/>
      <c r="AT71" s="151"/>
    </row>
    <row r="72" spans="2:46" ht="6.75" hidden="1" customHeight="1" x14ac:dyDescent="0.25">
      <c r="B72" s="275"/>
      <c r="C72" s="145"/>
      <c r="D72" s="276"/>
      <c r="E72" s="145"/>
      <c r="F72" s="145"/>
      <c r="G72" s="145"/>
      <c r="H72" s="151"/>
      <c r="I72" s="312"/>
      <c r="J72" s="146"/>
      <c r="K72" s="147"/>
      <c r="L72" s="147"/>
      <c r="M72" s="145"/>
      <c r="N72" s="145"/>
      <c r="O72" s="145"/>
      <c r="P72" s="279"/>
      <c r="Q72" s="151"/>
      <c r="R72" s="314"/>
      <c r="S72" s="145"/>
      <c r="T72" s="145"/>
      <c r="U72" s="145"/>
      <c r="V72" s="145"/>
      <c r="W72" s="145"/>
      <c r="X72" s="278"/>
      <c r="Y72" s="278"/>
      <c r="Z72" s="145"/>
      <c r="AA72" s="145"/>
      <c r="AB72" s="145"/>
      <c r="AC72" s="145"/>
      <c r="AD72" s="145"/>
      <c r="AE72" s="291"/>
      <c r="AF72" s="145"/>
      <c r="AG72" s="145"/>
      <c r="AH72" s="278"/>
      <c r="AI72" s="278"/>
      <c r="AJ72" s="290"/>
      <c r="AK72" s="147"/>
      <c r="AL72" s="147"/>
      <c r="AM72" s="147"/>
      <c r="AN72" s="292"/>
      <c r="AO72" s="145"/>
      <c r="AP72" s="145"/>
      <c r="AQ72" s="145"/>
      <c r="AR72" s="145"/>
      <c r="AS72" s="172"/>
      <c r="AT72" s="151"/>
    </row>
    <row r="73" spans="2:46" s="34" customFormat="1" ht="4.5" hidden="1" customHeight="1" x14ac:dyDescent="0.2">
      <c r="B73" s="319" t="s">
        <v>59</v>
      </c>
      <c r="C73" s="320" t="s">
        <v>61</v>
      </c>
      <c r="D73" s="320" t="s">
        <v>41</v>
      </c>
      <c r="E73" s="320" t="s">
        <v>52</v>
      </c>
      <c r="F73" s="320" t="s">
        <v>83</v>
      </c>
      <c r="G73" s="320"/>
      <c r="H73" s="321"/>
      <c r="I73" s="322"/>
      <c r="J73" s="319">
        <v>0.12</v>
      </c>
      <c r="K73" s="320">
        <v>0.37</v>
      </c>
      <c r="L73" s="320">
        <v>1.26</v>
      </c>
      <c r="M73" s="320">
        <v>0.01</v>
      </c>
      <c r="N73" s="320">
        <v>2E-3</v>
      </c>
      <c r="O73" s="320">
        <v>0.3</v>
      </c>
      <c r="P73" s="320">
        <v>0.54</v>
      </c>
      <c r="Q73" s="321">
        <v>0.24</v>
      </c>
      <c r="R73" s="323" t="s">
        <v>50</v>
      </c>
      <c r="S73" s="320">
        <v>1.2999999999999999E-2</v>
      </c>
      <c r="T73" s="320">
        <v>0.01</v>
      </c>
      <c r="U73" s="320">
        <v>2E-3</v>
      </c>
      <c r="V73" s="320">
        <v>0.02</v>
      </c>
      <c r="W73" s="320">
        <v>3.1E-2</v>
      </c>
      <c r="X73" s="320">
        <v>1E-3</v>
      </c>
      <c r="Y73" s="320">
        <v>7.0000000000000001E-3</v>
      </c>
      <c r="Z73" s="320" t="s">
        <v>49</v>
      </c>
      <c r="AA73" s="320">
        <v>1E-3</v>
      </c>
      <c r="AB73" s="320"/>
      <c r="AC73" s="320" t="s">
        <v>50</v>
      </c>
      <c r="AD73" s="320">
        <v>1E-3</v>
      </c>
      <c r="AE73" s="320" t="s">
        <v>50</v>
      </c>
      <c r="AF73" s="320">
        <v>4.0000000000000002E-4</v>
      </c>
      <c r="AG73" s="320" t="s">
        <v>62</v>
      </c>
      <c r="AH73" s="320">
        <v>1.2E-2</v>
      </c>
      <c r="AI73" s="320">
        <v>8.0000000000000002E-3</v>
      </c>
      <c r="AJ73" s="324" t="s">
        <v>82</v>
      </c>
      <c r="AK73" s="325">
        <f t="shared" si="59"/>
        <v>0.47733333333333328</v>
      </c>
      <c r="AL73" s="325">
        <f t="shared" si="60"/>
        <v>0.24233333333333335</v>
      </c>
      <c r="AM73" s="325">
        <f t="shared" si="61"/>
        <v>0.39311249999999998</v>
      </c>
      <c r="AN73" s="292">
        <f t="shared" si="62"/>
        <v>0.29950000000000004</v>
      </c>
      <c r="AO73" s="326">
        <f>100*(J73-J27)/(J8-J27)</f>
        <v>57.894736842105274</v>
      </c>
      <c r="AP73" s="326">
        <f t="shared" ref="AP73:AQ73" si="63">100*(K73-K27)/(K8-K27)</f>
        <v>66.666666666666671</v>
      </c>
      <c r="AQ73" s="326">
        <f t="shared" si="63"/>
        <v>65.909090909090921</v>
      </c>
      <c r="AR73" s="326" t="e">
        <f>100*(O73-O27)/(O8-O27)</f>
        <v>#DIV/0!</v>
      </c>
      <c r="AS73" s="173">
        <f t="shared" ref="AS73:AT73" si="64">100*(P73-P27)/(P8-P27)</f>
        <v>72.968490878938638</v>
      </c>
      <c r="AT73" s="341">
        <f t="shared" si="64"/>
        <v>70.370370370370367</v>
      </c>
    </row>
    <row r="74" spans="2:46" s="34" customFormat="1" ht="15" customHeight="1" x14ac:dyDescent="0.2">
      <c r="B74" s="319" t="s">
        <v>59</v>
      </c>
      <c r="C74" s="320" t="s">
        <v>60</v>
      </c>
      <c r="D74" s="320" t="s">
        <v>42</v>
      </c>
      <c r="E74" s="320" t="s">
        <v>57</v>
      </c>
      <c r="F74" s="320" t="s">
        <v>83</v>
      </c>
      <c r="G74" s="320"/>
      <c r="H74" s="321">
        <v>5</v>
      </c>
      <c r="I74" s="322"/>
      <c r="J74" s="319">
        <v>0.15</v>
      </c>
      <c r="K74" s="320">
        <v>0.37</v>
      </c>
      <c r="L74" s="320">
        <v>1.33</v>
      </c>
      <c r="M74" s="320">
        <v>6.0000000000000001E-3</v>
      </c>
      <c r="N74" s="320">
        <v>2E-3</v>
      </c>
      <c r="O74" s="320">
        <v>0.26</v>
      </c>
      <c r="P74" s="320">
        <v>0.68</v>
      </c>
      <c r="Q74" s="321">
        <v>0.61</v>
      </c>
      <c r="R74" s="323" t="s">
        <v>50</v>
      </c>
      <c r="S74" s="320">
        <v>1.2999999999999999E-2</v>
      </c>
      <c r="T74" s="320">
        <v>0.03</v>
      </c>
      <c r="U74" s="320">
        <v>1.0999999999999999E-2</v>
      </c>
      <c r="V74" s="320">
        <v>0.02</v>
      </c>
      <c r="W74" s="320">
        <v>3.5999999999999997E-2</v>
      </c>
      <c r="X74" s="320">
        <v>1E-3</v>
      </c>
      <c r="Y74" s="320">
        <v>1.4E-2</v>
      </c>
      <c r="Z74" s="320" t="s">
        <v>49</v>
      </c>
      <c r="AA74" s="320">
        <v>1E-3</v>
      </c>
      <c r="AB74" s="320"/>
      <c r="AC74" s="320" t="s">
        <v>50</v>
      </c>
      <c r="AD74" s="320">
        <v>1E-3</v>
      </c>
      <c r="AE74" s="320" t="s">
        <v>50</v>
      </c>
      <c r="AF74" s="320">
        <v>5.0000000000000001E-4</v>
      </c>
      <c r="AG74" s="320" t="s">
        <v>62</v>
      </c>
      <c r="AH74" s="320">
        <v>1.0999999999999999E-2</v>
      </c>
      <c r="AI74" s="320">
        <v>8.9999999999999993E-3</v>
      </c>
      <c r="AJ74" s="324" t="s">
        <v>79</v>
      </c>
      <c r="AK74" s="325">
        <f t="shared" si="59"/>
        <v>0.59833333333333338</v>
      </c>
      <c r="AL74" s="325">
        <f t="shared" si="60"/>
        <v>0.30283333333333334</v>
      </c>
      <c r="AM74" s="325">
        <f t="shared" si="61"/>
        <v>0.55200042099585578</v>
      </c>
      <c r="AN74" s="292">
        <f t="shared" si="62"/>
        <v>0.37500000000000006</v>
      </c>
      <c r="AO74" s="326">
        <f>100*(J74-J28)/(J11-J28)</f>
        <v>78.16091954022987</v>
      </c>
      <c r="AP74" s="326">
        <f t="shared" ref="AP74:AQ74" si="65">100*(K74-K28)/(K11-K28)</f>
        <v>67.346938775510196</v>
      </c>
      <c r="AQ74" s="326">
        <f t="shared" si="65"/>
        <v>69.230769230769212</v>
      </c>
      <c r="AR74" s="326">
        <f>100*(O74-O28)/(O11-O28)</f>
        <v>65</v>
      </c>
      <c r="AS74" s="173">
        <f t="shared" ref="AS74:AT74" si="66">100*(P74-P28)/(P11-P28)</f>
        <v>71.038251366120207</v>
      </c>
      <c r="AT74" s="341">
        <f t="shared" si="66"/>
        <v>100.00000000000001</v>
      </c>
    </row>
    <row r="75" spans="2:46" ht="6.75" hidden="1" customHeight="1" x14ac:dyDescent="0.25">
      <c r="B75" s="275"/>
      <c r="C75" s="145"/>
      <c r="D75" s="276"/>
      <c r="E75" s="145"/>
      <c r="F75" s="145"/>
      <c r="G75" s="145"/>
      <c r="H75" s="151"/>
      <c r="I75" s="312"/>
      <c r="J75" s="146"/>
      <c r="K75" s="147"/>
      <c r="L75" s="147"/>
      <c r="M75" s="145"/>
      <c r="N75" s="145"/>
      <c r="O75" s="145"/>
      <c r="P75" s="279"/>
      <c r="Q75" s="151"/>
      <c r="R75" s="314"/>
      <c r="S75" s="145"/>
      <c r="T75" s="145"/>
      <c r="U75" s="145"/>
      <c r="V75" s="145"/>
      <c r="W75" s="145"/>
      <c r="X75" s="278"/>
      <c r="Y75" s="278"/>
      <c r="Z75" s="145"/>
      <c r="AA75" s="145"/>
      <c r="AB75" s="145"/>
      <c r="AC75" s="145"/>
      <c r="AD75" s="145"/>
      <c r="AE75" s="291"/>
      <c r="AF75" s="145"/>
      <c r="AG75" s="145"/>
      <c r="AH75" s="278"/>
      <c r="AI75" s="278"/>
      <c r="AJ75" s="290"/>
      <c r="AK75" s="147"/>
      <c r="AL75" s="147"/>
      <c r="AM75" s="147"/>
      <c r="AN75" s="292"/>
      <c r="AO75" s="145"/>
      <c r="AP75" s="145"/>
      <c r="AQ75" s="145"/>
      <c r="AR75" s="145"/>
      <c r="AS75" s="172"/>
      <c r="AT75" s="151"/>
    </row>
    <row r="76" spans="2:46" hidden="1" x14ac:dyDescent="0.25">
      <c r="B76" s="275" t="s">
        <v>77</v>
      </c>
      <c r="C76" s="145"/>
      <c r="D76" s="145" t="s">
        <v>41</v>
      </c>
      <c r="E76" s="145" t="s">
        <v>52</v>
      </c>
      <c r="F76" s="145" t="s">
        <v>83</v>
      </c>
      <c r="G76" s="145"/>
      <c r="H76" s="151"/>
      <c r="I76" s="312"/>
      <c r="J76" s="146"/>
      <c r="K76" s="145"/>
      <c r="L76" s="145"/>
      <c r="M76" s="278"/>
      <c r="N76" s="145"/>
      <c r="O76" s="145"/>
      <c r="P76" s="147"/>
      <c r="Q76" s="151"/>
      <c r="R76" s="327"/>
      <c r="S76" s="145"/>
      <c r="T76" s="145"/>
      <c r="U76" s="145"/>
      <c r="V76" s="145"/>
      <c r="W76" s="145"/>
      <c r="X76" s="145"/>
      <c r="Y76" s="145"/>
      <c r="Z76" s="293"/>
      <c r="AA76" s="145"/>
      <c r="AB76" s="293"/>
      <c r="AC76" s="293"/>
      <c r="AD76" s="145"/>
      <c r="AE76" s="293"/>
      <c r="AF76" s="145"/>
      <c r="AG76" s="293"/>
      <c r="AH76" s="145"/>
      <c r="AI76" s="145"/>
      <c r="AJ76" s="290"/>
      <c r="AK76" s="147">
        <f t="shared" si="59"/>
        <v>0</v>
      </c>
      <c r="AL76" s="147">
        <f t="shared" si="60"/>
        <v>0</v>
      </c>
      <c r="AM76" s="147">
        <f t="shared" si="61"/>
        <v>0</v>
      </c>
      <c r="AN76" s="292">
        <f t="shared" si="62"/>
        <v>0</v>
      </c>
      <c r="AO76" s="145"/>
      <c r="AP76" s="145"/>
      <c r="AQ76" s="145"/>
      <c r="AR76" s="145"/>
      <c r="AS76" s="172"/>
      <c r="AT76" s="151"/>
    </row>
    <row r="77" spans="2:46" hidden="1" x14ac:dyDescent="0.25">
      <c r="B77" s="275" t="s">
        <v>77</v>
      </c>
      <c r="C77" s="145"/>
      <c r="D77" s="145" t="s">
        <v>41</v>
      </c>
      <c r="E77" s="145" t="s">
        <v>52</v>
      </c>
      <c r="F77" s="145" t="s">
        <v>83</v>
      </c>
      <c r="G77" s="145"/>
      <c r="H77" s="151"/>
      <c r="I77" s="312"/>
      <c r="J77" s="146"/>
      <c r="K77" s="145"/>
      <c r="L77" s="145"/>
      <c r="M77" s="278"/>
      <c r="N77" s="145"/>
      <c r="O77" s="145"/>
      <c r="P77" s="147"/>
      <c r="Q77" s="151"/>
      <c r="R77" s="327"/>
      <c r="S77" s="145"/>
      <c r="T77" s="145"/>
      <c r="U77" s="145"/>
      <c r="V77" s="145"/>
      <c r="W77" s="145"/>
      <c r="X77" s="145"/>
      <c r="Y77" s="145"/>
      <c r="Z77" s="293"/>
      <c r="AA77" s="145"/>
      <c r="AB77" s="293"/>
      <c r="AC77" s="293"/>
      <c r="AD77" s="145"/>
      <c r="AE77" s="293"/>
      <c r="AF77" s="145"/>
      <c r="AG77" s="293"/>
      <c r="AH77" s="145"/>
      <c r="AI77" s="145"/>
      <c r="AJ77" s="290"/>
      <c r="AK77" s="147">
        <f t="shared" si="59"/>
        <v>0</v>
      </c>
      <c r="AL77" s="147">
        <f t="shared" si="60"/>
        <v>0</v>
      </c>
      <c r="AM77" s="147">
        <f t="shared" si="61"/>
        <v>0</v>
      </c>
      <c r="AN77" s="292">
        <f t="shared" si="62"/>
        <v>0</v>
      </c>
      <c r="AO77" s="145"/>
      <c r="AP77" s="145"/>
      <c r="AQ77" s="145"/>
      <c r="AR77" s="145"/>
      <c r="AS77" s="172"/>
      <c r="AT77" s="151"/>
    </row>
    <row r="78" spans="2:46" hidden="1" x14ac:dyDescent="0.25">
      <c r="B78" s="275" t="s">
        <v>77</v>
      </c>
      <c r="C78" s="145"/>
      <c r="D78" s="145" t="s">
        <v>42</v>
      </c>
      <c r="E78" s="145" t="s">
        <v>57</v>
      </c>
      <c r="F78" s="145" t="s">
        <v>83</v>
      </c>
      <c r="G78" s="145"/>
      <c r="H78" s="151"/>
      <c r="I78" s="312"/>
      <c r="J78" s="146"/>
      <c r="K78" s="145"/>
      <c r="L78" s="145"/>
      <c r="M78" s="278"/>
      <c r="N78" s="145"/>
      <c r="O78" s="145"/>
      <c r="P78" s="147"/>
      <c r="Q78" s="151"/>
      <c r="R78" s="327"/>
      <c r="S78" s="145"/>
      <c r="T78" s="145"/>
      <c r="U78" s="145"/>
      <c r="V78" s="145"/>
      <c r="W78" s="145"/>
      <c r="X78" s="145"/>
      <c r="Y78" s="145"/>
      <c r="Z78" s="293"/>
      <c r="AA78" s="145"/>
      <c r="AB78" s="293"/>
      <c r="AC78" s="293"/>
      <c r="AD78" s="145"/>
      <c r="AE78" s="293"/>
      <c r="AF78" s="145"/>
      <c r="AG78" s="293"/>
      <c r="AH78" s="145"/>
      <c r="AI78" s="145"/>
      <c r="AJ78" s="290"/>
      <c r="AK78" s="147">
        <f t="shared" si="59"/>
        <v>0</v>
      </c>
      <c r="AL78" s="147">
        <f t="shared" si="60"/>
        <v>0</v>
      </c>
      <c r="AM78" s="147">
        <f t="shared" si="61"/>
        <v>0</v>
      </c>
      <c r="AN78" s="292">
        <f t="shared" si="62"/>
        <v>0</v>
      </c>
      <c r="AO78" s="145"/>
      <c r="AP78" s="145"/>
      <c r="AQ78" s="145"/>
      <c r="AR78" s="145"/>
      <c r="AS78" s="172"/>
      <c r="AT78" s="151"/>
    </row>
    <row r="79" spans="2:46" hidden="1" x14ac:dyDescent="0.25">
      <c r="B79" s="275" t="s">
        <v>77</v>
      </c>
      <c r="C79" s="145"/>
      <c r="D79" s="145" t="s">
        <v>42</v>
      </c>
      <c r="E79" s="145" t="s">
        <v>57</v>
      </c>
      <c r="F79" s="145" t="s">
        <v>83</v>
      </c>
      <c r="G79" s="145"/>
      <c r="H79" s="151"/>
      <c r="I79" s="312"/>
      <c r="J79" s="146"/>
      <c r="K79" s="145"/>
      <c r="L79" s="145"/>
      <c r="M79" s="278"/>
      <c r="N79" s="145"/>
      <c r="O79" s="145"/>
      <c r="P79" s="147"/>
      <c r="Q79" s="151"/>
      <c r="R79" s="327"/>
      <c r="S79" s="145"/>
      <c r="T79" s="145"/>
      <c r="U79" s="145"/>
      <c r="V79" s="145"/>
      <c r="W79" s="145"/>
      <c r="X79" s="145"/>
      <c r="Y79" s="145"/>
      <c r="Z79" s="293"/>
      <c r="AA79" s="145"/>
      <c r="AB79" s="293"/>
      <c r="AC79" s="293"/>
      <c r="AD79" s="145"/>
      <c r="AE79" s="293"/>
      <c r="AF79" s="145"/>
      <c r="AG79" s="293"/>
      <c r="AH79" s="145"/>
      <c r="AI79" s="145"/>
      <c r="AJ79" s="290"/>
      <c r="AK79" s="147">
        <f t="shared" si="59"/>
        <v>0</v>
      </c>
      <c r="AL79" s="147">
        <f t="shared" si="60"/>
        <v>0</v>
      </c>
      <c r="AM79" s="147">
        <f t="shared" si="61"/>
        <v>0</v>
      </c>
      <c r="AN79" s="292">
        <f t="shared" si="62"/>
        <v>0</v>
      </c>
      <c r="AO79" s="145"/>
      <c r="AP79" s="145"/>
      <c r="AQ79" s="145"/>
      <c r="AR79" s="145"/>
      <c r="AS79" s="172"/>
      <c r="AT79" s="151"/>
    </row>
    <row r="80" spans="2:46" ht="6.75" hidden="1" customHeight="1" x14ac:dyDescent="0.25">
      <c r="B80" s="275"/>
      <c r="C80" s="145"/>
      <c r="D80" s="276"/>
      <c r="E80" s="145"/>
      <c r="F80" s="145"/>
      <c r="G80" s="145"/>
      <c r="H80" s="151"/>
      <c r="I80" s="312"/>
      <c r="J80" s="146"/>
      <c r="K80" s="147"/>
      <c r="L80" s="147"/>
      <c r="M80" s="145"/>
      <c r="N80" s="145"/>
      <c r="O80" s="145"/>
      <c r="P80" s="279"/>
      <c r="Q80" s="151"/>
      <c r="R80" s="314"/>
      <c r="S80" s="145"/>
      <c r="T80" s="145"/>
      <c r="U80" s="145"/>
      <c r="V80" s="145"/>
      <c r="W80" s="145"/>
      <c r="X80" s="278"/>
      <c r="Y80" s="278"/>
      <c r="Z80" s="145"/>
      <c r="AA80" s="145"/>
      <c r="AB80" s="145"/>
      <c r="AC80" s="145"/>
      <c r="AD80" s="145"/>
      <c r="AE80" s="291"/>
      <c r="AF80" s="145"/>
      <c r="AG80" s="145"/>
      <c r="AH80" s="278"/>
      <c r="AI80" s="278"/>
      <c r="AJ80" s="290"/>
      <c r="AK80" s="147"/>
      <c r="AL80" s="147"/>
      <c r="AM80" s="147"/>
      <c r="AN80" s="292"/>
      <c r="AO80" s="145"/>
      <c r="AP80" s="145"/>
      <c r="AQ80" s="145"/>
      <c r="AR80" s="145"/>
      <c r="AS80" s="172"/>
      <c r="AT80" s="151"/>
    </row>
    <row r="81" spans="2:48" hidden="1" x14ac:dyDescent="0.25">
      <c r="B81" s="275" t="s">
        <v>63</v>
      </c>
      <c r="C81" s="293">
        <v>4417</v>
      </c>
      <c r="D81" s="276" t="s">
        <v>39</v>
      </c>
      <c r="E81" s="293" t="s">
        <v>67</v>
      </c>
      <c r="F81" s="145" t="s">
        <v>66</v>
      </c>
      <c r="G81" s="145" t="s">
        <v>64</v>
      </c>
      <c r="H81" s="151" t="s">
        <v>65</v>
      </c>
      <c r="I81" s="312"/>
      <c r="J81" s="146">
        <v>8.8999999999999996E-2</v>
      </c>
      <c r="K81" s="145">
        <v>0.38</v>
      </c>
      <c r="L81" s="145">
        <v>1.6</v>
      </c>
      <c r="M81" s="145">
        <v>1.0999999999999999E-2</v>
      </c>
      <c r="N81" s="145">
        <v>5.0000000000000001E-3</v>
      </c>
      <c r="O81" s="145">
        <v>4.2999999999999997E-2</v>
      </c>
      <c r="P81" s="147">
        <v>2.5</v>
      </c>
      <c r="Q81" s="151">
        <v>0.98</v>
      </c>
      <c r="R81" s="314">
        <v>8.0000000000000002E-3</v>
      </c>
      <c r="S81" s="145">
        <v>8.0000000000000002E-3</v>
      </c>
      <c r="T81" s="145">
        <v>3.0000000000000001E-3</v>
      </c>
      <c r="U81" s="145">
        <v>6.0000000000000001E-3</v>
      </c>
      <c r="V81" s="145">
        <v>5.3999999999999999E-2</v>
      </c>
      <c r="W81" s="145">
        <v>0.02</v>
      </c>
      <c r="X81" s="145">
        <v>4.0000000000000001E-3</v>
      </c>
      <c r="Y81" s="145">
        <v>1.0999999999999999E-2</v>
      </c>
      <c r="Z81" s="145" t="s">
        <v>46</v>
      </c>
      <c r="AA81" s="145">
        <v>4.0000000000000001E-3</v>
      </c>
      <c r="AB81" s="145">
        <v>3.0000000000000001E-3</v>
      </c>
      <c r="AC81" s="145" t="s">
        <v>47</v>
      </c>
      <c r="AD81" s="145">
        <v>2.0000000000000001E-4</v>
      </c>
      <c r="AE81" s="145">
        <v>4.0000000000000001E-3</v>
      </c>
      <c r="AF81" s="145">
        <v>5.0000000000000001E-4</v>
      </c>
      <c r="AG81" s="278">
        <v>1.9E-3</v>
      </c>
      <c r="AH81" s="145">
        <v>1.6E-2</v>
      </c>
      <c r="AI81" s="145">
        <v>3.0000000000000001E-3</v>
      </c>
      <c r="AJ81" s="290" t="s">
        <v>69</v>
      </c>
      <c r="AK81" s="147">
        <f t="shared" si="59"/>
        <v>0.73113333333333352</v>
      </c>
      <c r="AL81" s="147">
        <f t="shared" si="60"/>
        <v>0.29481666666666667</v>
      </c>
      <c r="AM81" s="147">
        <f t="shared" si="61"/>
        <v>0.46704461059442348</v>
      </c>
      <c r="AN81" s="292">
        <f t="shared" si="62"/>
        <v>0.41434999999999994</v>
      </c>
      <c r="AO81" s="145"/>
      <c r="AP81" s="145"/>
      <c r="AQ81" s="145"/>
      <c r="AR81" s="145"/>
      <c r="AS81" s="172"/>
      <c r="AT81" s="151"/>
    </row>
    <row r="82" spans="2:48" hidden="1" x14ac:dyDescent="0.25">
      <c r="B82" s="275" t="s">
        <v>63</v>
      </c>
      <c r="C82" s="293">
        <v>4418</v>
      </c>
      <c r="D82" s="276" t="s">
        <v>39</v>
      </c>
      <c r="E82" s="293" t="s">
        <v>68</v>
      </c>
      <c r="F82" s="145" t="s">
        <v>66</v>
      </c>
      <c r="G82" s="145" t="s">
        <v>64</v>
      </c>
      <c r="H82" s="151" t="s">
        <v>65</v>
      </c>
      <c r="I82" s="312"/>
      <c r="J82" s="146">
        <v>0.11</v>
      </c>
      <c r="K82" s="145">
        <v>0.39</v>
      </c>
      <c r="L82" s="145">
        <v>1.7</v>
      </c>
      <c r="M82" s="145">
        <v>1.0999999999999999E-2</v>
      </c>
      <c r="N82" s="145">
        <v>5.0000000000000001E-3</v>
      </c>
      <c r="O82" s="145">
        <v>3.9E-2</v>
      </c>
      <c r="P82" s="145">
        <v>2.59</v>
      </c>
      <c r="Q82" s="151">
        <v>1.05</v>
      </c>
      <c r="R82" s="314">
        <v>8.0000000000000002E-3</v>
      </c>
      <c r="S82" s="145">
        <v>8.0000000000000002E-3</v>
      </c>
      <c r="T82" s="145">
        <v>3.0000000000000001E-3</v>
      </c>
      <c r="U82" s="145">
        <v>7.0000000000000001E-3</v>
      </c>
      <c r="V82" s="145">
        <v>3.5999999999999997E-2</v>
      </c>
      <c r="W82" s="145">
        <v>2.1000000000000001E-2</v>
      </c>
      <c r="X82" s="145">
        <v>4.0000000000000001E-3</v>
      </c>
      <c r="Y82" s="145">
        <v>0.01</v>
      </c>
      <c r="Z82" s="145" t="s">
        <v>46</v>
      </c>
      <c r="AA82" s="145">
        <v>3.0000000000000001E-3</v>
      </c>
      <c r="AB82" s="145">
        <v>2E-3</v>
      </c>
      <c r="AC82" s="145" t="s">
        <v>47</v>
      </c>
      <c r="AD82" s="145">
        <v>2.0000000000000001E-4</v>
      </c>
      <c r="AE82" s="145">
        <v>5.0000000000000001E-3</v>
      </c>
      <c r="AF82" s="145">
        <v>8.0000000000000004E-4</v>
      </c>
      <c r="AG82" s="145">
        <v>2E-3</v>
      </c>
      <c r="AH82" s="145">
        <v>1.6E-2</v>
      </c>
      <c r="AI82" s="145">
        <v>3.0000000000000001E-3</v>
      </c>
      <c r="AJ82" s="290" t="s">
        <v>69</v>
      </c>
      <c r="AK82" s="147">
        <f t="shared" si="59"/>
        <v>0.78680000000000005</v>
      </c>
      <c r="AL82" s="147">
        <f t="shared" si="60"/>
        <v>0.32621666666666671</v>
      </c>
      <c r="AM82" s="147">
        <f t="shared" si="61"/>
        <v>0.56632568588154764</v>
      </c>
      <c r="AN82" s="292">
        <f t="shared" si="62"/>
        <v>0.45350000000000001</v>
      </c>
      <c r="AO82" s="145"/>
      <c r="AP82" s="145"/>
      <c r="AQ82" s="145"/>
      <c r="AR82" s="145"/>
      <c r="AS82" s="172"/>
      <c r="AT82" s="151"/>
    </row>
    <row r="83" spans="2:48" ht="6.75" hidden="1" customHeight="1" x14ac:dyDescent="0.25">
      <c r="B83" s="275"/>
      <c r="C83" s="145"/>
      <c r="D83" s="145"/>
      <c r="E83" s="145"/>
      <c r="F83" s="145"/>
      <c r="G83" s="145"/>
      <c r="H83" s="151"/>
      <c r="I83" s="312"/>
      <c r="J83" s="328"/>
      <c r="K83" s="290"/>
      <c r="L83" s="290"/>
      <c r="M83" s="290"/>
      <c r="N83" s="290"/>
      <c r="O83" s="290"/>
      <c r="P83" s="290"/>
      <c r="Q83" s="317"/>
      <c r="R83" s="315"/>
      <c r="S83" s="290"/>
      <c r="T83" s="290"/>
      <c r="U83" s="290"/>
      <c r="V83" s="290"/>
      <c r="W83" s="290"/>
      <c r="X83" s="290"/>
      <c r="Y83" s="290"/>
      <c r="Z83" s="290"/>
      <c r="AA83" s="290"/>
      <c r="AB83" s="290"/>
      <c r="AC83" s="290"/>
      <c r="AD83" s="290"/>
      <c r="AE83" s="290"/>
      <c r="AF83" s="290"/>
      <c r="AG83" s="290"/>
      <c r="AH83" s="290"/>
      <c r="AI83" s="290"/>
      <c r="AJ83" s="290"/>
      <c r="AK83" s="147"/>
      <c r="AL83" s="147"/>
      <c r="AM83" s="147"/>
      <c r="AN83" s="292"/>
      <c r="AO83" s="145"/>
      <c r="AP83" s="145"/>
      <c r="AQ83" s="145"/>
      <c r="AR83" s="145"/>
      <c r="AS83" s="172"/>
      <c r="AT83" s="151"/>
    </row>
    <row r="84" spans="2:48" x14ac:dyDescent="0.25">
      <c r="B84" s="275" t="s">
        <v>63</v>
      </c>
      <c r="C84" s="293">
        <v>5209</v>
      </c>
      <c r="D84" s="145" t="s">
        <v>41</v>
      </c>
      <c r="E84" s="293" t="s">
        <v>67</v>
      </c>
      <c r="F84" s="145" t="s">
        <v>66</v>
      </c>
      <c r="G84" s="145" t="s">
        <v>43</v>
      </c>
      <c r="H84" s="151">
        <v>10</v>
      </c>
      <c r="I84" s="312"/>
      <c r="J84" s="146">
        <v>0.1</v>
      </c>
      <c r="K84" s="145">
        <v>0.34</v>
      </c>
      <c r="L84" s="145">
        <v>1.42</v>
      </c>
      <c r="M84" s="278">
        <v>0.01</v>
      </c>
      <c r="N84" s="145">
        <v>6.0000000000000001E-3</v>
      </c>
      <c r="O84" s="145">
        <v>0.105</v>
      </c>
      <c r="P84" s="145">
        <v>1.82</v>
      </c>
      <c r="Q84" s="151">
        <v>0.79</v>
      </c>
      <c r="R84" s="314">
        <v>5.0000000000000001E-3</v>
      </c>
      <c r="S84" s="145">
        <v>8.0000000000000002E-3</v>
      </c>
      <c r="T84" s="145">
        <v>4.0000000000000001E-3</v>
      </c>
      <c r="U84" s="145">
        <v>4.0000000000000001E-3</v>
      </c>
      <c r="V84" s="145">
        <v>1.7999999999999999E-2</v>
      </c>
      <c r="W84" s="145">
        <v>2.5000000000000001E-2</v>
      </c>
      <c r="X84" s="145">
        <v>4.0000000000000001E-3</v>
      </c>
      <c r="Y84" s="278">
        <v>0.01</v>
      </c>
      <c r="Z84" s="145" t="s">
        <v>46</v>
      </c>
      <c r="AA84" s="145">
        <v>2E-3</v>
      </c>
      <c r="AB84" s="145">
        <v>1E-3</v>
      </c>
      <c r="AC84" s="145" t="s">
        <v>47</v>
      </c>
      <c r="AD84" s="145">
        <v>4.0000000000000002E-4</v>
      </c>
      <c r="AE84" s="145">
        <v>4.0000000000000001E-3</v>
      </c>
      <c r="AF84" s="145">
        <v>5.0000000000000001E-4</v>
      </c>
      <c r="AG84" s="145">
        <v>1.2999999999999999E-3</v>
      </c>
      <c r="AH84" s="145">
        <v>2.1999999999999999E-2</v>
      </c>
      <c r="AI84" s="145">
        <v>3.0000000000000001E-3</v>
      </c>
      <c r="AJ84" s="290" t="s">
        <v>90</v>
      </c>
      <c r="AK84" s="147">
        <f t="shared" si="59"/>
        <v>0.63900000000000001</v>
      </c>
      <c r="AL84" s="147">
        <f t="shared" si="60"/>
        <v>0.27388333333333337</v>
      </c>
      <c r="AM84" s="147">
        <f t="shared" si="61"/>
        <v>0.44298651459943905</v>
      </c>
      <c r="AN84" s="292">
        <f t="shared" si="62"/>
        <v>0.37264999999999998</v>
      </c>
      <c r="AO84" s="326">
        <f>100*(J84-J81)/(J8-J81)</f>
        <v>20.000000000000021</v>
      </c>
      <c r="AP84" s="326">
        <f t="shared" ref="AP84:AQ84" si="67">100*(K84-K81)/(K8-K81)</f>
        <v>36.363636363636353</v>
      </c>
      <c r="AQ84" s="326">
        <f t="shared" si="67"/>
        <v>36.734693877551052</v>
      </c>
      <c r="AR84" s="326">
        <f>100*(O84-O81)/(O8-O81)</f>
        <v>26.160337552742611</v>
      </c>
      <c r="AS84" s="173">
        <f t="shared" ref="AS84:AT84" si="68">100*(P84-P81)/(P8-P81)</f>
        <v>27.766435279706005</v>
      </c>
      <c r="AT84" s="341">
        <f t="shared" si="68"/>
        <v>23.170731707317067</v>
      </c>
      <c r="AV84" s="21" t="s">
        <v>90</v>
      </c>
    </row>
    <row r="85" spans="2:48" hidden="1" x14ac:dyDescent="0.25">
      <c r="B85" s="275" t="s">
        <v>63</v>
      </c>
      <c r="C85" s="293">
        <v>5210</v>
      </c>
      <c r="D85" s="145" t="s">
        <v>41</v>
      </c>
      <c r="E85" s="293" t="s">
        <v>67</v>
      </c>
      <c r="F85" s="145" t="s">
        <v>66</v>
      </c>
      <c r="G85" s="145" t="s">
        <v>43</v>
      </c>
      <c r="H85" s="151">
        <v>15</v>
      </c>
      <c r="I85" s="312"/>
      <c r="J85" s="146">
        <v>9.8000000000000004E-2</v>
      </c>
      <c r="K85" s="145">
        <v>0.35</v>
      </c>
      <c r="L85" s="145">
        <v>1.45</v>
      </c>
      <c r="M85" s="145">
        <v>8.9999999999999993E-3</v>
      </c>
      <c r="N85" s="145">
        <v>6.0000000000000001E-3</v>
      </c>
      <c r="O85" s="145">
        <v>9.2999999999999999E-2</v>
      </c>
      <c r="P85" s="145">
        <v>1.97</v>
      </c>
      <c r="Q85" s="151">
        <v>0.83</v>
      </c>
      <c r="R85" s="314">
        <v>5.0000000000000001E-3</v>
      </c>
      <c r="S85" s="145">
        <v>8.0000000000000002E-3</v>
      </c>
      <c r="T85" s="145">
        <v>4.0000000000000001E-3</v>
      </c>
      <c r="U85" s="145">
        <v>4.0000000000000001E-3</v>
      </c>
      <c r="V85" s="145">
        <v>1.9E-2</v>
      </c>
      <c r="W85" s="145">
        <v>2.1999999999999999E-2</v>
      </c>
      <c r="X85" s="145">
        <v>4.0000000000000001E-3</v>
      </c>
      <c r="Y85" s="145">
        <v>1.0999999999999999E-2</v>
      </c>
      <c r="Z85" s="145" t="s">
        <v>46</v>
      </c>
      <c r="AA85" s="145">
        <v>2E-3</v>
      </c>
      <c r="AB85" s="145">
        <v>2E-3</v>
      </c>
      <c r="AC85" s="145" t="s">
        <v>47</v>
      </c>
      <c r="AD85" s="145">
        <v>2.9999999999999997E-4</v>
      </c>
      <c r="AE85" s="145">
        <v>4.0000000000000001E-3</v>
      </c>
      <c r="AF85" s="145">
        <v>5.0000000000000001E-4</v>
      </c>
      <c r="AG85" s="145">
        <v>1.1000000000000001E-3</v>
      </c>
      <c r="AH85" s="145">
        <v>1.6E-2</v>
      </c>
      <c r="AI85" s="145">
        <v>3.0000000000000001E-3</v>
      </c>
      <c r="AJ85" s="290" t="s">
        <v>90</v>
      </c>
      <c r="AK85" s="147">
        <f t="shared" si="59"/>
        <v>0.65766666666666673</v>
      </c>
      <c r="AL85" s="147">
        <f t="shared" si="60"/>
        <v>0.27783333333333332</v>
      </c>
      <c r="AM85" s="147">
        <f t="shared" si="61"/>
        <v>0.44859127234302476</v>
      </c>
      <c r="AN85" s="292">
        <f t="shared" si="62"/>
        <v>0.38084999999999997</v>
      </c>
      <c r="AO85" s="326">
        <f>100*(J85-J81)/(J8-J82)</f>
        <v>26.470588235294152</v>
      </c>
      <c r="AP85" s="326">
        <f t="shared" ref="AP85:AQ85" si="69">100*(K85-K81)/(K8-K82)</f>
        <v>25.000000000000025</v>
      </c>
      <c r="AQ85" s="326">
        <f t="shared" si="69"/>
        <v>25.423728813559354</v>
      </c>
      <c r="AR85" s="326">
        <f>100*(O85-O81)/(O8-O82)</f>
        <v>20.746887966804977</v>
      </c>
      <c r="AS85" s="173">
        <f t="shared" ref="AS85:AT85" si="70">100*(P85-P81)/(P8-P82)</f>
        <v>20.874359984245768</v>
      </c>
      <c r="AT85" s="341">
        <f t="shared" si="70"/>
        <v>16.853932584269664</v>
      </c>
      <c r="AV85" s="21" t="s">
        <v>90</v>
      </c>
    </row>
    <row r="86" spans="2:48" ht="15.75" thickBot="1" x14ac:dyDescent="0.3">
      <c r="B86" s="329" t="s">
        <v>63</v>
      </c>
      <c r="C86" s="330">
        <v>5338</v>
      </c>
      <c r="D86" s="150" t="s">
        <v>42</v>
      </c>
      <c r="E86" s="330" t="s">
        <v>68</v>
      </c>
      <c r="F86" s="150" t="s">
        <v>66</v>
      </c>
      <c r="G86" s="150" t="s">
        <v>43</v>
      </c>
      <c r="H86" s="152">
        <v>10</v>
      </c>
      <c r="I86" s="331"/>
      <c r="J86" s="149">
        <v>0.13</v>
      </c>
      <c r="K86" s="150">
        <v>0.33</v>
      </c>
      <c r="L86" s="150">
        <v>1.48</v>
      </c>
      <c r="M86" s="150">
        <v>8.9999999999999993E-3</v>
      </c>
      <c r="N86" s="150">
        <v>6.0000000000000001E-3</v>
      </c>
      <c r="O86" s="150">
        <v>7.9000000000000001E-2</v>
      </c>
      <c r="P86" s="280">
        <v>1.8</v>
      </c>
      <c r="Q86" s="152">
        <v>0.89</v>
      </c>
      <c r="R86" s="332">
        <v>5.0000000000000001E-3</v>
      </c>
      <c r="S86" s="150">
        <v>8.0000000000000002E-3</v>
      </c>
      <c r="T86" s="150">
        <v>1.2E-2</v>
      </c>
      <c r="U86" s="150">
        <v>8.0000000000000002E-3</v>
      </c>
      <c r="V86" s="150">
        <v>1.7999999999999999E-2</v>
      </c>
      <c r="W86" s="150">
        <v>2.7E-2</v>
      </c>
      <c r="X86" s="150">
        <v>4.0000000000000001E-3</v>
      </c>
      <c r="Y86" s="150">
        <v>7.0000000000000001E-3</v>
      </c>
      <c r="Z86" s="150" t="s">
        <v>46</v>
      </c>
      <c r="AA86" s="150">
        <v>2E-3</v>
      </c>
      <c r="AB86" s="150">
        <v>1E-3</v>
      </c>
      <c r="AC86" s="150" t="s">
        <v>47</v>
      </c>
      <c r="AD86" s="150">
        <v>4.0000000000000002E-4</v>
      </c>
      <c r="AE86" s="150">
        <v>4.0000000000000001E-3</v>
      </c>
      <c r="AF86" s="150">
        <v>5.0000000000000001E-4</v>
      </c>
      <c r="AG86" s="150">
        <v>1.1999999999999999E-3</v>
      </c>
      <c r="AH86" s="333">
        <v>0.02</v>
      </c>
      <c r="AI86" s="150">
        <v>3.0000000000000001E-3</v>
      </c>
      <c r="AJ86" s="334" t="s">
        <v>90</v>
      </c>
      <c r="AK86" s="280">
        <f t="shared" si="59"/>
        <v>0.69406666666666661</v>
      </c>
      <c r="AL86" s="280">
        <f t="shared" si="60"/>
        <v>0.31238333333333335</v>
      </c>
      <c r="AM86" s="280">
        <f t="shared" si="61"/>
        <v>0.56917282263005819</v>
      </c>
      <c r="AN86" s="335">
        <f t="shared" si="62"/>
        <v>0.41685</v>
      </c>
      <c r="AO86" s="336">
        <f>100*(J86-J82)/(J11-J82)</f>
        <v>33.898305084745765</v>
      </c>
      <c r="AP86" s="336">
        <f t="shared" ref="AP86:AQ86" si="71">100*(K86-K82)/(K11-K82)</f>
        <v>33.333333333333329</v>
      </c>
      <c r="AQ86" s="336">
        <f t="shared" si="71"/>
        <v>44.897959183673464</v>
      </c>
      <c r="AR86" s="336">
        <f>100*(O86-O82)/(O11-O82)</f>
        <v>26.490066225165563</v>
      </c>
      <c r="AS86" s="174">
        <f t="shared" ref="AS86:AT86" si="72">100*(P86-P82)/(P11-P82)</f>
        <v>31.029065200314214</v>
      </c>
      <c r="AT86" s="342">
        <f t="shared" si="72"/>
        <v>36.363636363636367</v>
      </c>
      <c r="AV86" s="21" t="s">
        <v>90</v>
      </c>
    </row>
    <row r="87" spans="2:48" hidden="1" x14ac:dyDescent="0.25">
      <c r="B87" s="1" t="s">
        <v>63</v>
      </c>
      <c r="C87" s="155">
        <v>5339</v>
      </c>
      <c r="D87" s="8" t="s">
        <v>42</v>
      </c>
      <c r="E87" s="155" t="s">
        <v>68</v>
      </c>
      <c r="F87" s="1" t="s">
        <v>66</v>
      </c>
      <c r="G87" s="8" t="s">
        <v>43</v>
      </c>
      <c r="H87" s="1">
        <v>15</v>
      </c>
      <c r="I87" s="21"/>
      <c r="J87" s="156">
        <v>0.12</v>
      </c>
      <c r="K87" s="8">
        <v>0.34</v>
      </c>
      <c r="L87" s="8">
        <v>1.54</v>
      </c>
      <c r="M87" s="8">
        <v>8.9999999999999993E-3</v>
      </c>
      <c r="N87" s="8">
        <v>6.0000000000000001E-3</v>
      </c>
      <c r="O87" s="8">
        <v>6.9000000000000006E-2</v>
      </c>
      <c r="P87" s="8">
        <v>1.98</v>
      </c>
      <c r="Q87" s="8">
        <v>0.93</v>
      </c>
      <c r="R87" s="8">
        <v>5.0000000000000001E-3</v>
      </c>
      <c r="S87" s="8">
        <v>8.0000000000000002E-3</v>
      </c>
      <c r="T87" s="120">
        <v>0.01</v>
      </c>
      <c r="U87" s="8">
        <v>8.0000000000000002E-3</v>
      </c>
      <c r="V87" s="120">
        <v>0.02</v>
      </c>
      <c r="W87" s="8">
        <v>2.3E-2</v>
      </c>
      <c r="X87" s="8">
        <v>5.0000000000000001E-3</v>
      </c>
      <c r="Y87" s="8">
        <v>8.0000000000000002E-3</v>
      </c>
      <c r="Z87" s="8" t="s">
        <v>46</v>
      </c>
      <c r="AA87" s="8">
        <v>2E-3</v>
      </c>
      <c r="AB87" s="8">
        <v>1E-3</v>
      </c>
      <c r="AC87" s="8" t="s">
        <v>47</v>
      </c>
      <c r="AD87" s="8">
        <v>2.9999999999999997E-4</v>
      </c>
      <c r="AE87" s="8">
        <v>5.0000000000000001E-3</v>
      </c>
      <c r="AF87" s="8">
        <v>6.9999999999999999E-4</v>
      </c>
      <c r="AG87" s="8">
        <v>1.5E-3</v>
      </c>
      <c r="AH87" s="8">
        <v>1.6E-2</v>
      </c>
      <c r="AI87" s="157">
        <v>3.0000000000000001E-3</v>
      </c>
      <c r="AJ87" s="21" t="s">
        <v>90</v>
      </c>
      <c r="AK87" s="158">
        <f t="shared" si="59"/>
        <v>0.71179999999999999</v>
      </c>
      <c r="AL87" s="121">
        <f t="shared" si="60"/>
        <v>0.31028333333333336</v>
      </c>
      <c r="AM87" s="159">
        <f t="shared" si="61"/>
        <v>0.550925</v>
      </c>
      <c r="AN87" s="160">
        <f t="shared" si="62"/>
        <v>0.42094999999999999</v>
      </c>
      <c r="AO87" s="90">
        <f>100*(J87-J82)/(J11-J82)</f>
        <v>16.949152542372872</v>
      </c>
      <c r="AP87" s="90">
        <f t="shared" ref="AP87:AQ87" si="73">100*(K87-K82)/(K11-K82)</f>
        <v>27.777777777777768</v>
      </c>
      <c r="AQ87" s="90">
        <f t="shared" si="73"/>
        <v>32.653061224489782</v>
      </c>
      <c r="AR87" s="90">
        <f>100*(O87-O82)/(O11-O82)</f>
        <v>19.867549668874176</v>
      </c>
      <c r="AS87" s="90">
        <f t="shared" ref="AS87:AT87" si="74">100*(P87-P82)/(P11-P82)</f>
        <v>23.959151610369204</v>
      </c>
      <c r="AT87" s="90">
        <f t="shared" si="74"/>
        <v>27.27272727272727</v>
      </c>
      <c r="AV87" s="21" t="s">
        <v>90</v>
      </c>
    </row>
    <row r="88" spans="2:48" ht="6.75" hidden="1" customHeight="1" x14ac:dyDescent="0.25">
      <c r="I88" s="21"/>
      <c r="J88" s="59"/>
      <c r="AI88" s="46"/>
      <c r="AJ88" s="21"/>
      <c r="AK88" s="74"/>
      <c r="AL88" s="13"/>
      <c r="AM88" s="81"/>
      <c r="AN88" s="85"/>
      <c r="AV88" s="21"/>
    </row>
    <row r="89" spans="2:48" hidden="1" x14ac:dyDescent="0.25">
      <c r="B89" s="1" t="s">
        <v>63</v>
      </c>
      <c r="C89" s="11">
        <v>5209</v>
      </c>
      <c r="D89" s="10" t="s">
        <v>41</v>
      </c>
      <c r="E89" s="11" t="s">
        <v>67</v>
      </c>
      <c r="F89" s="1" t="s">
        <v>66</v>
      </c>
      <c r="G89" s="8" t="s">
        <v>43</v>
      </c>
      <c r="H89" s="1">
        <v>10</v>
      </c>
      <c r="I89" s="21"/>
      <c r="J89" s="20">
        <v>0.11</v>
      </c>
      <c r="K89" s="10">
        <v>0.37</v>
      </c>
      <c r="L89" s="10">
        <v>1.48</v>
      </c>
      <c r="M89" s="14">
        <v>0.01</v>
      </c>
      <c r="N89" s="14">
        <v>2E-3</v>
      </c>
      <c r="O89" s="10">
        <v>6.2E-2</v>
      </c>
      <c r="P89" s="13">
        <v>2.31</v>
      </c>
      <c r="Q89" s="10">
        <v>0.96</v>
      </c>
      <c r="R89" s="10">
        <v>5.0000000000000001E-3</v>
      </c>
      <c r="S89" s="10">
        <v>6.0000000000000001E-3</v>
      </c>
      <c r="T89" s="10">
        <v>3.0000000000000001E-3</v>
      </c>
      <c r="U89" s="10">
        <v>5.0000000000000001E-3</v>
      </c>
      <c r="V89" s="10">
        <v>2.1999999999999999E-2</v>
      </c>
      <c r="W89" s="10">
        <v>2.3E-2</v>
      </c>
      <c r="X89" s="10">
        <v>5.0000000000000001E-3</v>
      </c>
      <c r="Y89" s="10">
        <v>8.9999999999999993E-3</v>
      </c>
      <c r="Z89" s="10" t="s">
        <v>46</v>
      </c>
      <c r="AA89" s="10">
        <v>2E-3</v>
      </c>
      <c r="AB89" s="10">
        <v>2E-3</v>
      </c>
      <c r="AC89" s="10" t="s">
        <v>47</v>
      </c>
      <c r="AD89" s="10">
        <v>2.0000000000000001E-4</v>
      </c>
      <c r="AE89" s="10">
        <v>5.0000000000000001E-3</v>
      </c>
      <c r="AF89" s="10">
        <v>4.0000000000000002E-4</v>
      </c>
      <c r="AG89" s="10">
        <v>1.4E-3</v>
      </c>
      <c r="AI89" s="77">
        <v>3.0000000000000001E-3</v>
      </c>
      <c r="AJ89" s="21" t="s">
        <v>91</v>
      </c>
      <c r="AK89" s="74">
        <f t="shared" si="59"/>
        <v>0.71713333333333329</v>
      </c>
      <c r="AL89" s="13">
        <f t="shared" si="60"/>
        <v>0.30433333333333334</v>
      </c>
      <c r="AM89" s="81">
        <f t="shared" si="61"/>
        <v>0.51991889222560506</v>
      </c>
      <c r="AN89" s="85">
        <f t="shared" si="62"/>
        <v>0.41594999999999999</v>
      </c>
      <c r="AO89" s="90">
        <f>100*(J89-J81)/(J8-J81)</f>
        <v>38.181818181818194</v>
      </c>
      <c r="AP89" s="90">
        <f t="shared" ref="AP89:AQ89" si="75">100*(K89-K81)/(K8-K81)</f>
        <v>9.0909090909091006</v>
      </c>
      <c r="AQ89" s="90">
        <f t="shared" si="75"/>
        <v>24.489795918367371</v>
      </c>
      <c r="AR89" s="90">
        <f>100*(O89-O81)/(O8-O81)</f>
        <v>8.0168776371308024</v>
      </c>
      <c r="AS89" s="90">
        <f t="shared" ref="AS89:AT89" si="76">100*(P89-P81)/(P8-P81)</f>
        <v>7.7582686810943216</v>
      </c>
      <c r="AT89" s="90">
        <f t="shared" si="76"/>
        <v>2.4390243902439046</v>
      </c>
      <c r="AV89" s="21" t="s">
        <v>91</v>
      </c>
    </row>
    <row r="90" spans="2:48" hidden="1" x14ac:dyDescent="0.25">
      <c r="B90" s="1" t="s">
        <v>63</v>
      </c>
      <c r="C90" s="11">
        <v>5210</v>
      </c>
      <c r="D90" s="10" t="s">
        <v>41</v>
      </c>
      <c r="E90" s="11" t="s">
        <v>67</v>
      </c>
      <c r="F90" s="1" t="s">
        <v>66</v>
      </c>
      <c r="G90" s="8" t="s">
        <v>43</v>
      </c>
      <c r="H90" s="1">
        <v>15</v>
      </c>
      <c r="I90" s="21"/>
      <c r="J90" s="20">
        <v>0.14000000000000001</v>
      </c>
      <c r="K90" s="10">
        <v>0.37</v>
      </c>
      <c r="L90" s="10">
        <v>1.48</v>
      </c>
      <c r="M90" s="14">
        <v>0.01</v>
      </c>
      <c r="N90" s="14">
        <v>1E-3</v>
      </c>
      <c r="O90" s="10">
        <v>6.4000000000000001E-2</v>
      </c>
      <c r="P90" s="13">
        <v>2.2599999999999998</v>
      </c>
      <c r="Q90" s="10">
        <v>0.95</v>
      </c>
      <c r="R90" s="10">
        <v>5.0000000000000001E-3</v>
      </c>
      <c r="S90" s="10">
        <v>7.0000000000000001E-3</v>
      </c>
      <c r="T90" s="10">
        <v>3.0000000000000001E-3</v>
      </c>
      <c r="U90" s="10">
        <v>5.0000000000000001E-3</v>
      </c>
      <c r="V90" s="10">
        <v>2.1000000000000001E-2</v>
      </c>
      <c r="W90" s="10">
        <v>1.9E-2</v>
      </c>
      <c r="X90" s="10">
        <v>5.0000000000000001E-3</v>
      </c>
      <c r="Y90" s="10">
        <v>8.9999999999999993E-3</v>
      </c>
      <c r="Z90" s="10" t="s">
        <v>46</v>
      </c>
      <c r="AA90" s="10">
        <v>2E-3</v>
      </c>
      <c r="AB90" s="10">
        <v>2E-3</v>
      </c>
      <c r="AC90" s="10" t="s">
        <v>47</v>
      </c>
      <c r="AD90" s="10">
        <v>2.0000000000000001E-4</v>
      </c>
      <c r="AE90" s="10">
        <v>5.0000000000000001E-3</v>
      </c>
      <c r="AF90" s="10">
        <v>5.0000000000000001E-4</v>
      </c>
      <c r="AG90" s="10">
        <v>1.4E-3</v>
      </c>
      <c r="AI90" s="77">
        <v>3.0000000000000001E-3</v>
      </c>
      <c r="AJ90" s="21" t="s">
        <v>91</v>
      </c>
      <c r="AK90" s="74">
        <f t="shared" si="59"/>
        <v>0.74213333333333342</v>
      </c>
      <c r="AL90" s="13">
        <f t="shared" si="60"/>
        <v>0.33288333333333336</v>
      </c>
      <c r="AM90" s="81">
        <f t="shared" si="61"/>
        <v>0.63083900492283906</v>
      </c>
      <c r="AN90" s="85">
        <f t="shared" si="62"/>
        <v>0.44374999999999998</v>
      </c>
      <c r="AO90" s="90">
        <f>100*(J90-J81)/(J8-J81)</f>
        <v>92.727272727272762</v>
      </c>
      <c r="AP90" s="90">
        <f t="shared" ref="AP90:AQ90" si="77">100*(K90-K81)/(K8-K81)</f>
        <v>9.0909090909091006</v>
      </c>
      <c r="AQ90" s="90">
        <f t="shared" si="77"/>
        <v>24.489795918367371</v>
      </c>
      <c r="AR90" s="90">
        <f>100*(O90-O81)/(O8-O81)</f>
        <v>8.8607594936708871</v>
      </c>
      <c r="AS90" s="90">
        <f t="shared" ref="AS90:AT90" si="78">100*(P90-P81)/(P8-P81)</f>
        <v>9.799918334013892</v>
      </c>
      <c r="AT90" s="90">
        <f t="shared" si="78"/>
        <v>3.6585365853658569</v>
      </c>
      <c r="AV90" s="21" t="s">
        <v>91</v>
      </c>
    </row>
    <row r="91" spans="2:48" hidden="1" x14ac:dyDescent="0.25">
      <c r="B91" s="1" t="s">
        <v>63</v>
      </c>
      <c r="C91" s="11">
        <v>5338</v>
      </c>
      <c r="D91" s="10" t="s">
        <v>42</v>
      </c>
      <c r="E91" s="11" t="s">
        <v>68</v>
      </c>
      <c r="F91" s="1" t="s">
        <v>66</v>
      </c>
      <c r="G91" s="8" t="s">
        <v>43</v>
      </c>
      <c r="H91" s="1">
        <v>10</v>
      </c>
      <c r="I91" s="21"/>
      <c r="J91" s="20">
        <v>0.12</v>
      </c>
      <c r="K91" s="10">
        <v>0.37</v>
      </c>
      <c r="L91" s="10">
        <v>1.52</v>
      </c>
      <c r="M91" s="14">
        <v>0.01</v>
      </c>
      <c r="N91" s="14">
        <v>6.0000000000000001E-3</v>
      </c>
      <c r="O91" s="10">
        <v>5.3999999999999999E-2</v>
      </c>
      <c r="P91" s="13">
        <v>2.16</v>
      </c>
      <c r="Q91" s="10">
        <v>0.99</v>
      </c>
      <c r="R91" s="10">
        <v>5.0000000000000001E-3</v>
      </c>
      <c r="S91" s="10">
        <v>7.0000000000000001E-3</v>
      </c>
      <c r="T91" s="10">
        <v>7.0000000000000001E-3</v>
      </c>
      <c r="U91" s="10">
        <v>7.0000000000000001E-3</v>
      </c>
      <c r="V91" s="10">
        <v>2.1999999999999999E-2</v>
      </c>
      <c r="W91" s="10">
        <v>2.3E-2</v>
      </c>
      <c r="X91" s="10">
        <v>5.0000000000000001E-3</v>
      </c>
      <c r="Y91" s="10">
        <v>8.0000000000000002E-3</v>
      </c>
      <c r="Z91" s="10" t="s">
        <v>46</v>
      </c>
      <c r="AA91" s="10">
        <v>2E-3</v>
      </c>
      <c r="AB91" s="10">
        <v>2E-3</v>
      </c>
      <c r="AC91" s="10" t="s">
        <v>47</v>
      </c>
      <c r="AD91" s="10">
        <v>2.0000000000000001E-4</v>
      </c>
      <c r="AE91" s="10">
        <v>5.0000000000000001E-3</v>
      </c>
      <c r="AF91" s="10">
        <v>5.0000000000000001E-4</v>
      </c>
      <c r="AG91" s="10">
        <v>1.2999999999999999E-3</v>
      </c>
      <c r="AI91" s="77">
        <v>3.0000000000000001E-3</v>
      </c>
      <c r="AJ91" s="21" t="s">
        <v>91</v>
      </c>
      <c r="AK91" s="74">
        <f t="shared" si="59"/>
        <v>0.72899999999999998</v>
      </c>
      <c r="AL91" s="13">
        <f t="shared" si="60"/>
        <v>0.3158333333333333</v>
      </c>
      <c r="AM91" s="81">
        <f t="shared" si="61"/>
        <v>0.56236249999999999</v>
      </c>
      <c r="AN91" s="85">
        <f t="shared" si="62"/>
        <v>0.42879999999999996</v>
      </c>
      <c r="AO91" s="90">
        <f>100*(J91-J82)/(J11-J82)</f>
        <v>16.949152542372872</v>
      </c>
      <c r="AP91" s="90">
        <f t="shared" ref="AP91:AQ91" si="79">100*(K91-K82)/(K11-K82)</f>
        <v>11.11111111111112</v>
      </c>
      <c r="AQ91" s="90">
        <f t="shared" si="79"/>
        <v>36.73469387755101</v>
      </c>
      <c r="AR91" s="90">
        <f>100*(O91-O82)/(O11-O82)</f>
        <v>9.9337748344370862</v>
      </c>
      <c r="AS91" s="90">
        <f t="shared" ref="AS91:AT91" si="80">100*(P91-P82)/(P11-P82)</f>
        <v>16.889238020424184</v>
      </c>
      <c r="AT91" s="90">
        <f t="shared" si="80"/>
        <v>13.636363636363647</v>
      </c>
      <c r="AV91" s="21" t="s">
        <v>91</v>
      </c>
    </row>
    <row r="92" spans="2:48" ht="15.75" hidden="1" thickBot="1" x14ac:dyDescent="0.3">
      <c r="B92" s="61" t="s">
        <v>63</v>
      </c>
      <c r="C92" s="62">
        <v>5339</v>
      </c>
      <c r="D92" s="63" t="s">
        <v>42</v>
      </c>
      <c r="E92" s="62" t="s">
        <v>68</v>
      </c>
      <c r="F92" s="61" t="s">
        <v>66</v>
      </c>
      <c r="G92" s="64" t="s">
        <v>43</v>
      </c>
      <c r="H92" s="61">
        <v>15</v>
      </c>
      <c r="I92" s="23"/>
      <c r="J92" s="65">
        <v>0.12</v>
      </c>
      <c r="K92" s="63">
        <v>0.38</v>
      </c>
      <c r="L92" s="63">
        <v>1.59</v>
      </c>
      <c r="M92" s="66">
        <v>0.01</v>
      </c>
      <c r="N92" s="66">
        <v>7.0000000000000001E-3</v>
      </c>
      <c r="O92" s="63">
        <v>4.9000000000000002E-2</v>
      </c>
      <c r="P92" s="67">
        <v>2.34</v>
      </c>
      <c r="Q92" s="63">
        <v>1.02</v>
      </c>
      <c r="R92" s="63">
        <v>5.0000000000000001E-3</v>
      </c>
      <c r="S92" s="63">
        <v>7.0000000000000001E-3</v>
      </c>
      <c r="T92" s="63">
        <v>6.0000000000000001E-3</v>
      </c>
      <c r="U92" s="63">
        <v>6.0000000000000001E-3</v>
      </c>
      <c r="V92" s="63">
        <v>2.1999999999999999E-2</v>
      </c>
      <c r="W92" s="63">
        <v>1.9E-2</v>
      </c>
      <c r="X92" s="63">
        <v>5.0000000000000001E-3</v>
      </c>
      <c r="Y92" s="63">
        <v>7.0000000000000001E-3</v>
      </c>
      <c r="Z92" s="63" t="s">
        <v>46</v>
      </c>
      <c r="AA92" s="63">
        <v>2E-3</v>
      </c>
      <c r="AB92" s="63">
        <v>2E-3</v>
      </c>
      <c r="AC92" s="63" t="s">
        <v>47</v>
      </c>
      <c r="AD92" s="63">
        <v>2.0000000000000001E-4</v>
      </c>
      <c r="AE92" s="63">
        <v>5.0000000000000001E-3</v>
      </c>
      <c r="AF92" s="63">
        <v>4.0000000000000002E-4</v>
      </c>
      <c r="AG92" s="63">
        <v>1.2999999999999999E-3</v>
      </c>
      <c r="AH92" s="78"/>
      <c r="AI92" s="77">
        <v>3.0000000000000001E-3</v>
      </c>
      <c r="AJ92" s="23" t="s">
        <v>91</v>
      </c>
      <c r="AK92" s="76">
        <f t="shared" si="59"/>
        <v>0.75746666666666662</v>
      </c>
      <c r="AL92" s="67">
        <f t="shared" si="60"/>
        <v>0.32431666666666664</v>
      </c>
      <c r="AM92" s="83">
        <f t="shared" si="61"/>
        <v>0.58162499999999995</v>
      </c>
      <c r="AN92" s="86">
        <f t="shared" si="62"/>
        <v>0.44305</v>
      </c>
      <c r="AO92" s="90">
        <f>100*(J92-J82)/(J11-J82)</f>
        <v>16.949152542372872</v>
      </c>
      <c r="AP92" s="90">
        <f t="shared" ref="AP92:AQ92" si="81">100*(K92-K82)/(K11-K82)</f>
        <v>5.5555555555555598</v>
      </c>
      <c r="AQ92" s="90">
        <f t="shared" si="81"/>
        <v>22.448979591836711</v>
      </c>
      <c r="AR92" s="90">
        <f>100*(O92-O82)/(O11-O82)</f>
        <v>6.6225165562913926</v>
      </c>
      <c r="AS92" s="90">
        <f t="shared" ref="AS92:AT92" si="82">100*(P92-P82)/(P11-P82)</f>
        <v>9.8193244304791829</v>
      </c>
      <c r="AT92" s="90">
        <f t="shared" si="82"/>
        <v>6.8181818181818237</v>
      </c>
      <c r="AV92" s="23" t="s">
        <v>91</v>
      </c>
    </row>
    <row r="93" spans="2:48" hidden="1" x14ac:dyDescent="0.25">
      <c r="AK93" s="12"/>
    </row>
    <row r="94" spans="2:48" x14ac:dyDescent="0.25">
      <c r="AK94" s="12"/>
    </row>
    <row r="95" spans="2:48" x14ac:dyDescent="0.25">
      <c r="AK95" s="12"/>
    </row>
    <row r="96" spans="2:48" x14ac:dyDescent="0.25">
      <c r="B96" t="s">
        <v>116</v>
      </c>
      <c r="C96"/>
      <c r="D96"/>
      <c r="E96"/>
      <c r="F96"/>
      <c r="AK96" s="12"/>
    </row>
    <row r="97" spans="2:37" x14ac:dyDescent="0.25">
      <c r="B97"/>
      <c r="C97"/>
      <c r="D97"/>
      <c r="E97"/>
      <c r="F97"/>
      <c r="AK97" s="12"/>
    </row>
    <row r="98" spans="2:37" x14ac:dyDescent="0.25">
      <c r="B98" t="s">
        <v>113</v>
      </c>
      <c r="C98"/>
      <c r="D98"/>
      <c r="E98"/>
      <c r="F98"/>
      <c r="AK98" s="12"/>
    </row>
    <row r="99" spans="2:37" x14ac:dyDescent="0.25">
      <c r="B99" t="s">
        <v>114</v>
      </c>
      <c r="C99"/>
      <c r="D99"/>
      <c r="E99"/>
      <c r="F99"/>
      <c r="AK99" s="12"/>
    </row>
    <row r="100" spans="2:37" x14ac:dyDescent="0.25">
      <c r="B100" t="s">
        <v>115</v>
      </c>
      <c r="C100"/>
      <c r="D100"/>
      <c r="E100"/>
      <c r="F100"/>
      <c r="AK100" s="12"/>
    </row>
    <row r="101" spans="2:37" x14ac:dyDescent="0.25">
      <c r="AK101" s="12"/>
    </row>
    <row r="102" spans="2:37" x14ac:dyDescent="0.25">
      <c r="AK102" s="12"/>
    </row>
    <row r="103" spans="2:37" x14ac:dyDescent="0.25">
      <c r="AK103" s="12"/>
    </row>
    <row r="104" spans="2:37" x14ac:dyDescent="0.25">
      <c r="AK104" s="12"/>
    </row>
    <row r="105" spans="2:37" x14ac:dyDescent="0.25">
      <c r="AK105" s="12"/>
    </row>
    <row r="106" spans="2:37" x14ac:dyDescent="0.25">
      <c r="AK106" s="12"/>
    </row>
    <row r="107" spans="2:37" x14ac:dyDescent="0.25">
      <c r="AK107" s="12"/>
    </row>
    <row r="108" spans="2:37" x14ac:dyDescent="0.25">
      <c r="AK108" s="12"/>
    </row>
  </sheetData>
  <mergeCells count="9">
    <mergeCell ref="AK3:AN3"/>
    <mergeCell ref="AO3:AT3"/>
    <mergeCell ref="AJ13:AJ16"/>
    <mergeCell ref="AJ18:AJ23"/>
    <mergeCell ref="B3:B4"/>
    <mergeCell ref="C3:H3"/>
    <mergeCell ref="I3:I4"/>
    <mergeCell ref="J3:AI3"/>
    <mergeCell ref="AJ3:AJ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N40"/>
  <sheetViews>
    <sheetView zoomScale="90" zoomScaleNormal="90" workbookViewId="0">
      <selection activeCell="P43" sqref="P43"/>
    </sheetView>
  </sheetViews>
  <sheetFormatPr defaultRowHeight="15" x14ac:dyDescent="0.25"/>
  <cols>
    <col min="3" max="3" width="10.28515625" customWidth="1"/>
    <col min="14" max="14" width="9.5703125" bestFit="1" customWidth="1"/>
  </cols>
  <sheetData>
    <row r="2" spans="3:11" ht="15.75" thickBot="1" x14ac:dyDescent="0.3"/>
    <row r="3" spans="3:11" ht="30" customHeight="1" thickBot="1" x14ac:dyDescent="0.3">
      <c r="C3" s="261" t="s">
        <v>117</v>
      </c>
      <c r="D3" s="455" t="s">
        <v>41</v>
      </c>
      <c r="E3" s="455"/>
      <c r="F3" s="455"/>
      <c r="G3" s="455"/>
      <c r="H3" s="455" t="s">
        <v>42</v>
      </c>
      <c r="I3" s="455"/>
      <c r="J3" s="455"/>
      <c r="K3" s="456"/>
    </row>
    <row r="4" spans="3:11" ht="5.25" customHeight="1" thickBot="1" x14ac:dyDescent="0.3">
      <c r="C4" s="250"/>
      <c r="D4" s="251"/>
      <c r="E4" s="251"/>
      <c r="F4" s="251"/>
      <c r="G4" s="251"/>
      <c r="H4" s="251"/>
      <c r="I4" s="251"/>
      <c r="J4" s="251"/>
      <c r="K4" s="269"/>
    </row>
    <row r="5" spans="3:11" x14ac:dyDescent="0.25">
      <c r="C5" s="437" t="s">
        <v>34</v>
      </c>
      <c r="D5" s="441" t="s">
        <v>118</v>
      </c>
      <c r="E5" s="441"/>
      <c r="F5" s="441" t="s">
        <v>119</v>
      </c>
      <c r="G5" s="441"/>
      <c r="H5" s="441" t="s">
        <v>120</v>
      </c>
      <c r="I5" s="441"/>
      <c r="J5" s="441" t="s">
        <v>121</v>
      </c>
      <c r="K5" s="442"/>
    </row>
    <row r="6" spans="3:11" x14ac:dyDescent="0.25">
      <c r="C6" s="438"/>
      <c r="D6" s="262" t="s">
        <v>248</v>
      </c>
      <c r="E6" s="262" t="s">
        <v>249</v>
      </c>
      <c r="F6" s="262" t="s">
        <v>250</v>
      </c>
      <c r="G6" s="262" t="s">
        <v>226</v>
      </c>
      <c r="H6" s="262" t="s">
        <v>248</v>
      </c>
      <c r="I6" s="262" t="s">
        <v>249</v>
      </c>
      <c r="J6" s="262" t="s">
        <v>250</v>
      </c>
      <c r="K6" s="263" t="s">
        <v>226</v>
      </c>
    </row>
    <row r="7" spans="3:11" ht="15.75" thickBot="1" x14ac:dyDescent="0.3">
      <c r="C7" s="439"/>
      <c r="D7" s="177"/>
      <c r="E7" s="177"/>
      <c r="F7" s="101" t="s">
        <v>145</v>
      </c>
      <c r="G7" s="95">
        <v>9</v>
      </c>
      <c r="H7" s="177"/>
      <c r="I7" s="177"/>
      <c r="J7" s="101">
        <v>9</v>
      </c>
      <c r="K7" s="178">
        <v>9</v>
      </c>
    </row>
    <row r="8" spans="3:11" ht="5.25" hidden="1" customHeight="1" thickBot="1" x14ac:dyDescent="0.3">
      <c r="C8" s="250"/>
      <c r="D8" s="1"/>
      <c r="E8" s="1"/>
      <c r="F8" s="1"/>
      <c r="G8" s="1"/>
      <c r="H8" s="1"/>
      <c r="I8" s="1"/>
      <c r="J8" s="1"/>
      <c r="K8" s="53"/>
    </row>
    <row r="9" spans="3:11" ht="15" hidden="1" customHeight="1" x14ac:dyDescent="0.25">
      <c r="C9" s="437" t="s">
        <v>54</v>
      </c>
      <c r="D9" s="404" t="s">
        <v>138</v>
      </c>
      <c r="E9" s="404"/>
      <c r="F9" s="404" t="s">
        <v>139</v>
      </c>
      <c r="G9" s="404"/>
      <c r="H9" s="404" t="s">
        <v>140</v>
      </c>
      <c r="I9" s="404"/>
      <c r="J9" s="404" t="s">
        <v>141</v>
      </c>
      <c r="K9" s="453"/>
    </row>
    <row r="10" spans="3:11" ht="15" hidden="1" customHeight="1" x14ac:dyDescent="0.25">
      <c r="C10" s="438"/>
      <c r="D10" s="405" t="s">
        <v>137</v>
      </c>
      <c r="E10" s="406"/>
      <c r="F10" s="405" t="s">
        <v>137</v>
      </c>
      <c r="G10" s="406"/>
      <c r="H10" s="405" t="s">
        <v>137</v>
      </c>
      <c r="I10" s="406"/>
      <c r="J10" s="405" t="s">
        <v>137</v>
      </c>
      <c r="K10" s="454"/>
    </row>
    <row r="11" spans="3:11" ht="15.75" hidden="1" customHeight="1" thickBot="1" x14ac:dyDescent="0.3">
      <c r="C11" s="439"/>
      <c r="D11" s="407" t="s">
        <v>124</v>
      </c>
      <c r="E11" s="408"/>
      <c r="F11" s="407" t="s">
        <v>124</v>
      </c>
      <c r="G11" s="408"/>
      <c r="H11" s="407" t="s">
        <v>124</v>
      </c>
      <c r="I11" s="408"/>
      <c r="J11" s="407" t="s">
        <v>124</v>
      </c>
      <c r="K11" s="449"/>
    </row>
    <row r="12" spans="3:11" ht="5.25" customHeight="1" thickBot="1" x14ac:dyDescent="0.3">
      <c r="C12" s="250"/>
      <c r="D12" s="1"/>
      <c r="E12" s="1"/>
      <c r="F12" s="1"/>
      <c r="G12" s="1"/>
      <c r="H12" s="1"/>
      <c r="I12" s="1"/>
      <c r="J12" s="1"/>
      <c r="K12" s="53"/>
    </row>
    <row r="13" spans="3:11" x14ac:dyDescent="0.25">
      <c r="C13" s="450" t="s">
        <v>54</v>
      </c>
      <c r="D13" s="441" t="s">
        <v>127</v>
      </c>
      <c r="E13" s="441"/>
      <c r="F13" s="441" t="s">
        <v>51</v>
      </c>
      <c r="G13" s="441"/>
      <c r="H13" s="441" t="s">
        <v>128</v>
      </c>
      <c r="I13" s="441"/>
      <c r="J13" s="441" t="s">
        <v>53</v>
      </c>
      <c r="K13" s="442"/>
    </row>
    <row r="14" spans="3:11" x14ac:dyDescent="0.25">
      <c r="C14" s="451"/>
      <c r="D14" s="262" t="s">
        <v>253</v>
      </c>
      <c r="E14" s="262" t="s">
        <v>254</v>
      </c>
      <c r="F14" s="262" t="s">
        <v>255</v>
      </c>
      <c r="G14" s="262" t="s">
        <v>256</v>
      </c>
      <c r="H14" s="262" t="s">
        <v>257</v>
      </c>
      <c r="I14" s="262" t="s">
        <v>258</v>
      </c>
      <c r="J14" s="262" t="s">
        <v>255</v>
      </c>
      <c r="K14" s="263" t="s">
        <v>256</v>
      </c>
    </row>
    <row r="15" spans="3:11" x14ac:dyDescent="0.25">
      <c r="C15" s="451"/>
      <c r="D15" s="93" t="s">
        <v>148</v>
      </c>
      <c r="E15" s="93" t="s">
        <v>149</v>
      </c>
      <c r="F15" s="93" t="s">
        <v>146</v>
      </c>
      <c r="G15" s="93" t="s">
        <v>147</v>
      </c>
      <c r="H15" s="93">
        <v>34</v>
      </c>
      <c r="I15" s="93">
        <v>21</v>
      </c>
      <c r="J15" s="93" t="s">
        <v>150</v>
      </c>
      <c r="K15" s="179" t="s">
        <v>151</v>
      </c>
    </row>
    <row r="16" spans="3:11" ht="15.75" thickBot="1" x14ac:dyDescent="0.3">
      <c r="C16" s="452"/>
      <c r="D16" s="95">
        <v>22</v>
      </c>
      <c r="E16" s="95">
        <v>16</v>
      </c>
      <c r="F16" s="95">
        <v>11</v>
      </c>
      <c r="G16" s="95">
        <v>5</v>
      </c>
      <c r="H16" s="95">
        <v>11</v>
      </c>
      <c r="I16" s="95">
        <v>14</v>
      </c>
      <c r="J16" s="259">
        <v>13</v>
      </c>
      <c r="K16" s="178">
        <v>19</v>
      </c>
    </row>
    <row r="17" spans="3:11" ht="5.25" customHeight="1" thickBot="1" x14ac:dyDescent="0.3">
      <c r="C17" s="250"/>
      <c r="D17" s="1"/>
      <c r="E17" s="1"/>
      <c r="F17" s="1"/>
      <c r="G17" s="1"/>
      <c r="H17" s="1"/>
      <c r="I17" s="1"/>
      <c r="J17" s="1"/>
      <c r="K17" s="53"/>
    </row>
    <row r="18" spans="3:11" ht="15" customHeight="1" x14ac:dyDescent="0.25">
      <c r="C18" s="437" t="s">
        <v>129</v>
      </c>
      <c r="D18" s="441" t="s">
        <v>127</v>
      </c>
      <c r="E18" s="441"/>
      <c r="F18" s="443" t="s">
        <v>51</v>
      </c>
      <c r="G18" s="444"/>
      <c r="H18" s="441" t="s">
        <v>128</v>
      </c>
      <c r="I18" s="441"/>
      <c r="J18" s="443" t="s">
        <v>53</v>
      </c>
      <c r="K18" s="445"/>
    </row>
    <row r="19" spans="3:11" x14ac:dyDescent="0.25">
      <c r="C19" s="438"/>
      <c r="D19" s="264" t="s">
        <v>122</v>
      </c>
      <c r="E19" s="262" t="s">
        <v>259</v>
      </c>
      <c r="F19" s="264" t="s">
        <v>122</v>
      </c>
      <c r="G19" s="264" t="s">
        <v>123</v>
      </c>
      <c r="H19" s="264" t="s">
        <v>122</v>
      </c>
      <c r="I19" s="262" t="s">
        <v>259</v>
      </c>
      <c r="J19" s="264" t="s">
        <v>122</v>
      </c>
      <c r="K19" s="265" t="s">
        <v>123</v>
      </c>
    </row>
    <row r="20" spans="3:11" ht="15" customHeight="1" thickBot="1" x14ac:dyDescent="0.3">
      <c r="C20" s="439"/>
      <c r="D20" s="266"/>
      <c r="E20" s="95">
        <v>46</v>
      </c>
      <c r="F20" s="266"/>
      <c r="G20" s="266"/>
      <c r="H20" s="266"/>
      <c r="I20" s="95">
        <v>43</v>
      </c>
      <c r="J20" s="266"/>
      <c r="K20" s="267"/>
    </row>
    <row r="21" spans="3:11" ht="5.25" hidden="1" customHeight="1" thickBot="1" x14ac:dyDescent="0.3">
      <c r="C21" s="250"/>
      <c r="D21" s="1"/>
      <c r="E21" s="1"/>
      <c r="F21" s="1"/>
      <c r="G21" s="1"/>
      <c r="H21" s="1"/>
      <c r="I21" s="1"/>
      <c r="J21" s="1"/>
      <c r="K21" s="53"/>
    </row>
    <row r="22" spans="3:11" hidden="1" x14ac:dyDescent="0.25">
      <c r="C22" s="437" t="s">
        <v>77</v>
      </c>
      <c r="D22" s="404" t="s">
        <v>127</v>
      </c>
      <c r="E22" s="404"/>
      <c r="F22" s="409" t="s">
        <v>51</v>
      </c>
      <c r="G22" s="410"/>
      <c r="H22" s="404" t="s">
        <v>128</v>
      </c>
      <c r="I22" s="404"/>
      <c r="J22" s="409" t="s">
        <v>53</v>
      </c>
      <c r="K22" s="448"/>
    </row>
    <row r="23" spans="3:11" hidden="1" x14ac:dyDescent="0.25">
      <c r="C23" s="438"/>
      <c r="D23" s="91" t="s">
        <v>122</v>
      </c>
      <c r="E23" s="91" t="s">
        <v>123</v>
      </c>
      <c r="F23" s="92" t="s">
        <v>122</v>
      </c>
      <c r="G23" s="92" t="s">
        <v>123</v>
      </c>
      <c r="H23" s="91" t="s">
        <v>122</v>
      </c>
      <c r="I23" s="91" t="s">
        <v>123</v>
      </c>
      <c r="J23" s="92" t="s">
        <v>122</v>
      </c>
      <c r="K23" s="180" t="s">
        <v>123</v>
      </c>
    </row>
    <row r="24" spans="3:11" ht="15" hidden="1" customHeight="1" thickBot="1" x14ac:dyDescent="0.3">
      <c r="C24" s="439"/>
      <c r="D24" s="100"/>
      <c r="E24" s="100"/>
      <c r="F24" s="96"/>
      <c r="G24" s="96"/>
      <c r="H24" s="100"/>
      <c r="I24" s="100"/>
      <c r="J24" s="96"/>
      <c r="K24" s="181"/>
    </row>
    <row r="25" spans="3:11" ht="5.25" customHeight="1" thickBot="1" x14ac:dyDescent="0.3">
      <c r="C25" s="250"/>
      <c r="D25" s="1"/>
      <c r="E25" s="1"/>
      <c r="F25" s="1"/>
      <c r="G25" s="1"/>
      <c r="H25" s="1"/>
      <c r="I25" s="1"/>
      <c r="J25" s="1"/>
      <c r="K25" s="53"/>
    </row>
    <row r="26" spans="3:11" ht="15" customHeight="1" x14ac:dyDescent="0.25">
      <c r="C26" s="437" t="s">
        <v>59</v>
      </c>
      <c r="D26" s="441" t="s">
        <v>127</v>
      </c>
      <c r="E26" s="441"/>
      <c r="F26" s="443" t="s">
        <v>51</v>
      </c>
      <c r="G26" s="444"/>
      <c r="H26" s="441" t="s">
        <v>128</v>
      </c>
      <c r="I26" s="441"/>
      <c r="J26" s="443" t="s">
        <v>53</v>
      </c>
      <c r="K26" s="445"/>
    </row>
    <row r="27" spans="3:11" x14ac:dyDescent="0.25">
      <c r="C27" s="438"/>
      <c r="D27" s="446" t="s">
        <v>251</v>
      </c>
      <c r="E27" s="447"/>
      <c r="F27" s="264" t="s">
        <v>122</v>
      </c>
      <c r="G27" s="264" t="s">
        <v>123</v>
      </c>
      <c r="H27" s="446" t="s">
        <v>251</v>
      </c>
      <c r="I27" s="447"/>
      <c r="J27" s="264" t="s">
        <v>122</v>
      </c>
      <c r="K27" s="265" t="s">
        <v>123</v>
      </c>
    </row>
    <row r="28" spans="3:11" ht="15.75" thickBot="1" x14ac:dyDescent="0.3">
      <c r="C28" s="439"/>
      <c r="D28" s="407">
        <v>73</v>
      </c>
      <c r="E28" s="408"/>
      <c r="F28" s="266"/>
      <c r="G28" s="266"/>
      <c r="H28" s="407">
        <v>71</v>
      </c>
      <c r="I28" s="408"/>
      <c r="J28" s="266"/>
      <c r="K28" s="267"/>
    </row>
    <row r="29" spans="3:11" ht="5.25" customHeight="1" thickBot="1" x14ac:dyDescent="0.3">
      <c r="C29" s="250"/>
      <c r="D29" s="1"/>
      <c r="E29" s="1"/>
      <c r="F29" s="1"/>
      <c r="G29" s="1"/>
      <c r="H29" s="1"/>
      <c r="I29" s="1"/>
      <c r="J29" s="1"/>
      <c r="K29" s="53"/>
    </row>
    <row r="30" spans="3:11" ht="30.75" customHeight="1" x14ac:dyDescent="0.25">
      <c r="C30" s="437" t="s">
        <v>63</v>
      </c>
      <c r="D30" s="440" t="s">
        <v>132</v>
      </c>
      <c r="E30" s="441"/>
      <c r="F30" s="440" t="s">
        <v>133</v>
      </c>
      <c r="G30" s="441"/>
      <c r="H30" s="440" t="s">
        <v>134</v>
      </c>
      <c r="I30" s="441"/>
      <c r="J30" s="440" t="s">
        <v>135</v>
      </c>
      <c r="K30" s="442"/>
    </row>
    <row r="31" spans="3:11" x14ac:dyDescent="0.25">
      <c r="C31" s="438"/>
      <c r="D31" s="262" t="s">
        <v>260</v>
      </c>
      <c r="E31" s="268" t="s">
        <v>123</v>
      </c>
      <c r="F31" s="262" t="s">
        <v>227</v>
      </c>
      <c r="G31" s="262" t="s">
        <v>226</v>
      </c>
      <c r="H31" s="262" t="s">
        <v>260</v>
      </c>
      <c r="I31" s="268" t="s">
        <v>123</v>
      </c>
      <c r="J31" s="262" t="s">
        <v>227</v>
      </c>
      <c r="K31" s="263" t="s">
        <v>226</v>
      </c>
    </row>
    <row r="32" spans="3:11" ht="15.75" thickBot="1" x14ac:dyDescent="0.3">
      <c r="C32" s="439"/>
      <c r="D32" s="177"/>
      <c r="E32" s="266"/>
      <c r="F32" s="95">
        <v>28</v>
      </c>
      <c r="G32" s="95">
        <v>21</v>
      </c>
      <c r="H32" s="177"/>
      <c r="I32" s="266"/>
      <c r="J32" s="95">
        <v>31</v>
      </c>
      <c r="K32" s="178">
        <v>24</v>
      </c>
    </row>
    <row r="33" spans="3:14" x14ac:dyDescent="0.25">
      <c r="N33" s="176"/>
    </row>
    <row r="34" spans="3:14" x14ac:dyDescent="0.25">
      <c r="N34" s="176"/>
    </row>
    <row r="36" spans="3:14" x14ac:dyDescent="0.25">
      <c r="C36" t="s">
        <v>116</v>
      </c>
    </row>
    <row r="38" spans="3:14" x14ac:dyDescent="0.25">
      <c r="C38" t="s">
        <v>113</v>
      </c>
    </row>
    <row r="39" spans="3:14" x14ac:dyDescent="0.25">
      <c r="C39" t="s">
        <v>114</v>
      </c>
    </row>
    <row r="40" spans="3:14" x14ac:dyDescent="0.25">
      <c r="C40" t="s">
        <v>115</v>
      </c>
    </row>
  </sheetData>
  <mergeCells count="49">
    <mergeCell ref="H10:I10"/>
    <mergeCell ref="J10:K10"/>
    <mergeCell ref="D3:G3"/>
    <mergeCell ref="H3:K3"/>
    <mergeCell ref="C5:C7"/>
    <mergeCell ref="D5:E5"/>
    <mergeCell ref="F5:G5"/>
    <mergeCell ref="H5:I5"/>
    <mergeCell ref="J5:K5"/>
    <mergeCell ref="D11:E11"/>
    <mergeCell ref="F11:G11"/>
    <mergeCell ref="H11:I11"/>
    <mergeCell ref="J11:K11"/>
    <mergeCell ref="C13:C16"/>
    <mergeCell ref="D13:E13"/>
    <mergeCell ref="F13:G13"/>
    <mergeCell ref="H13:I13"/>
    <mergeCell ref="J13:K13"/>
    <mergeCell ref="C9:C11"/>
    <mergeCell ref="D9:E9"/>
    <mergeCell ref="F9:G9"/>
    <mergeCell ref="H9:I9"/>
    <mergeCell ref="J9:K9"/>
    <mergeCell ref="D10:E10"/>
    <mergeCell ref="F10:G10"/>
    <mergeCell ref="C22:C24"/>
    <mergeCell ref="D22:E22"/>
    <mergeCell ref="F22:G22"/>
    <mergeCell ref="H22:I22"/>
    <mergeCell ref="J22:K22"/>
    <mergeCell ref="C18:C20"/>
    <mergeCell ref="D18:E18"/>
    <mergeCell ref="F18:G18"/>
    <mergeCell ref="H18:I18"/>
    <mergeCell ref="J18:K18"/>
    <mergeCell ref="C26:C28"/>
    <mergeCell ref="D26:E26"/>
    <mergeCell ref="F26:G26"/>
    <mergeCell ref="H26:I26"/>
    <mergeCell ref="J26:K26"/>
    <mergeCell ref="D27:E27"/>
    <mergeCell ref="H27:I27"/>
    <mergeCell ref="D28:E28"/>
    <mergeCell ref="H28:I28"/>
    <mergeCell ref="C30:C32"/>
    <mergeCell ref="D30:E30"/>
    <mergeCell ref="F30:G30"/>
    <mergeCell ref="H30:I30"/>
    <mergeCell ref="J30:K30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P108"/>
  <sheetViews>
    <sheetView zoomScale="70" zoomScaleNormal="70" workbookViewId="0">
      <selection activeCell="AZ84" sqref="AZ84:AZ87"/>
    </sheetView>
  </sheetViews>
  <sheetFormatPr defaultRowHeight="15" x14ac:dyDescent="0.25"/>
  <cols>
    <col min="1" max="1" width="2.5703125" customWidth="1"/>
    <col min="2" max="2" width="7.42578125" style="1" customWidth="1"/>
    <col min="3" max="3" width="12.28515625" style="1" customWidth="1"/>
    <col min="4" max="4" width="9.140625" style="1"/>
    <col min="5" max="5" width="13.42578125" style="1" customWidth="1"/>
    <col min="6" max="6" width="20" style="1" customWidth="1"/>
    <col min="7" max="7" width="9" style="1" hidden="1" customWidth="1"/>
    <col min="8" max="8" width="10.42578125" style="1" customWidth="1"/>
    <col min="9" max="9" width="12" style="1" customWidth="1"/>
    <col min="10" max="10" width="10.42578125" style="1" customWidth="1"/>
    <col min="11" max="11" width="1" hidden="1" customWidth="1"/>
    <col min="12" max="31" width="6.7109375" hidden="1" customWidth="1"/>
    <col min="32" max="32" width="9.42578125" hidden="1" customWidth="1"/>
    <col min="33" max="33" width="8" hidden="1" customWidth="1"/>
    <col min="34" max="34" width="7.7109375" hidden="1" customWidth="1"/>
    <col min="35" max="35" width="7.85546875" hidden="1" customWidth="1"/>
    <col min="36" max="37" width="6.7109375" hidden="1" customWidth="1"/>
    <col min="38" max="38" width="25.140625" hidden="1" customWidth="1"/>
    <col min="39" max="39" width="9.7109375" hidden="1" customWidth="1"/>
    <col min="40" max="40" width="0" style="1" hidden="1" customWidth="1"/>
    <col min="41" max="42" width="0" hidden="1" customWidth="1"/>
    <col min="43" max="43" width="1" customWidth="1"/>
    <col min="44" max="44" width="8.5703125" customWidth="1"/>
    <col min="45" max="45" width="8.7109375" customWidth="1"/>
    <col min="46" max="46" width="6.85546875" customWidth="1"/>
    <col min="47" max="51" width="11" customWidth="1"/>
    <col min="52" max="52" width="13.140625" customWidth="1"/>
    <col min="53" max="53" width="20.5703125" customWidth="1"/>
    <col min="54" max="54" width="22.140625" customWidth="1"/>
    <col min="55" max="55" width="24" customWidth="1"/>
    <col min="56" max="56" width="3.28515625" customWidth="1"/>
    <col min="57" max="58" width="3" customWidth="1"/>
    <col min="59" max="63" width="4.7109375" customWidth="1"/>
    <col min="64" max="64" width="6.5703125" customWidth="1"/>
    <col min="65" max="69" width="4.7109375" customWidth="1"/>
    <col min="70" max="70" width="6.5703125" customWidth="1"/>
    <col min="71" max="75" width="4.7109375" customWidth="1"/>
    <col min="76" max="76" width="6.5703125" customWidth="1"/>
    <col min="77" max="81" width="4.7109375" customWidth="1"/>
    <col min="82" max="82" width="6.5703125" customWidth="1"/>
    <col min="83" max="87" width="4.7109375" customWidth="1"/>
    <col min="88" max="88" width="6.5703125" customWidth="1"/>
    <col min="89" max="93" width="4.7109375" customWidth="1"/>
    <col min="94" max="94" width="6.5703125" customWidth="1"/>
  </cols>
  <sheetData>
    <row r="2" spans="1:94" ht="15.75" thickBot="1" x14ac:dyDescent="0.3"/>
    <row r="3" spans="1:94" ht="30" customHeight="1" thickBot="1" x14ac:dyDescent="0.3">
      <c r="A3" s="210"/>
      <c r="B3" s="391" t="s">
        <v>58</v>
      </c>
      <c r="C3" s="397" t="s">
        <v>33</v>
      </c>
      <c r="D3" s="396" t="s">
        <v>32</v>
      </c>
      <c r="E3" s="394"/>
      <c r="F3" s="394"/>
      <c r="G3" s="394"/>
      <c r="H3" s="394"/>
      <c r="I3" s="394"/>
      <c r="J3" s="394"/>
      <c r="K3" s="399"/>
      <c r="L3" s="394" t="s">
        <v>30</v>
      </c>
      <c r="M3" s="394"/>
      <c r="N3" s="394"/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  <c r="AA3" s="394"/>
      <c r="AB3" s="394"/>
      <c r="AC3" s="394"/>
      <c r="AD3" s="394"/>
      <c r="AE3" s="394"/>
      <c r="AF3" s="394"/>
      <c r="AG3" s="394"/>
      <c r="AH3" s="394"/>
      <c r="AI3" s="394"/>
      <c r="AJ3" s="394"/>
      <c r="AK3" s="395"/>
      <c r="AL3" s="386" t="s">
        <v>108</v>
      </c>
      <c r="AM3" s="388" t="s">
        <v>106</v>
      </c>
      <c r="AN3" s="389"/>
      <c r="AO3" s="389"/>
      <c r="AP3" s="390"/>
      <c r="AQ3" s="112"/>
      <c r="AR3" s="411" t="s">
        <v>166</v>
      </c>
      <c r="AS3" s="468"/>
      <c r="AT3" s="468"/>
      <c r="AU3" s="469" t="s">
        <v>165</v>
      </c>
      <c r="AV3" s="469"/>
      <c r="AW3" s="469"/>
      <c r="AX3" s="469"/>
      <c r="AY3" s="469"/>
      <c r="AZ3" s="469"/>
      <c r="BA3" s="213" t="s">
        <v>167</v>
      </c>
      <c r="BB3" s="470" t="s">
        <v>160</v>
      </c>
      <c r="BC3" s="397" t="s">
        <v>108</v>
      </c>
      <c r="BG3" s="465" t="s">
        <v>165</v>
      </c>
      <c r="BH3" s="466"/>
      <c r="BI3" s="466"/>
      <c r="BJ3" s="466"/>
      <c r="BK3" s="466"/>
      <c r="BL3" s="466"/>
      <c r="BM3" s="466"/>
      <c r="BN3" s="466"/>
      <c r="BO3" s="466"/>
      <c r="BP3" s="466"/>
      <c r="BQ3" s="466"/>
      <c r="BR3" s="466"/>
      <c r="BS3" s="466"/>
      <c r="BT3" s="466"/>
      <c r="BU3" s="466"/>
      <c r="BV3" s="466"/>
      <c r="BW3" s="466"/>
      <c r="BX3" s="466"/>
      <c r="BY3" s="466"/>
      <c r="BZ3" s="466"/>
      <c r="CA3" s="466"/>
      <c r="CB3" s="466"/>
      <c r="CC3" s="466"/>
      <c r="CD3" s="466"/>
      <c r="CE3" s="466"/>
      <c r="CF3" s="466"/>
      <c r="CG3" s="466"/>
      <c r="CH3" s="466"/>
      <c r="CI3" s="466"/>
      <c r="CJ3" s="466"/>
      <c r="CK3" s="466"/>
      <c r="CL3" s="466"/>
      <c r="CM3" s="466"/>
      <c r="CN3" s="466"/>
      <c r="CO3" s="466"/>
      <c r="CP3" s="467"/>
    </row>
    <row r="4" spans="1:94" ht="30" customHeight="1" thickBot="1" x14ac:dyDescent="0.4">
      <c r="A4" s="210"/>
      <c r="B4" s="392"/>
      <c r="C4" s="398"/>
      <c r="D4" s="5" t="s">
        <v>29</v>
      </c>
      <c r="E4" s="7" t="s">
        <v>26</v>
      </c>
      <c r="F4" s="7" t="s">
        <v>27</v>
      </c>
      <c r="G4" s="6" t="s">
        <v>35</v>
      </c>
      <c r="H4" s="7" t="s">
        <v>28</v>
      </c>
      <c r="I4" s="9" t="s">
        <v>155</v>
      </c>
      <c r="J4" s="9" t="s">
        <v>31</v>
      </c>
      <c r="K4" s="400"/>
      <c r="L4" s="4" t="s">
        <v>0</v>
      </c>
      <c r="M4" s="2" t="s">
        <v>1</v>
      </c>
      <c r="N4" s="2" t="s">
        <v>2</v>
      </c>
      <c r="O4" s="2" t="s">
        <v>3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8</v>
      </c>
      <c r="U4" s="2" t="s">
        <v>9</v>
      </c>
      <c r="V4" s="2" t="s">
        <v>10</v>
      </c>
      <c r="W4" s="2" t="s">
        <v>11</v>
      </c>
      <c r="X4" s="2" t="s">
        <v>12</v>
      </c>
      <c r="Y4" s="2" t="s">
        <v>13</v>
      </c>
      <c r="Z4" s="2" t="s">
        <v>14</v>
      </c>
      <c r="AA4" s="2" t="s">
        <v>15</v>
      </c>
      <c r="AB4" s="2" t="s">
        <v>16</v>
      </c>
      <c r="AC4" s="2" t="s">
        <v>17</v>
      </c>
      <c r="AD4" s="2" t="s">
        <v>18</v>
      </c>
      <c r="AE4" s="2" t="s">
        <v>19</v>
      </c>
      <c r="AF4" s="2" t="s">
        <v>20</v>
      </c>
      <c r="AG4" s="2" t="s">
        <v>21</v>
      </c>
      <c r="AH4" s="2" t="s">
        <v>22</v>
      </c>
      <c r="AI4" s="2" t="s">
        <v>23</v>
      </c>
      <c r="AJ4" s="2" t="s">
        <v>24</v>
      </c>
      <c r="AK4" s="3" t="s">
        <v>25</v>
      </c>
      <c r="AL4" s="387"/>
      <c r="AM4" s="35" t="s">
        <v>104</v>
      </c>
      <c r="AN4" s="70" t="s">
        <v>105</v>
      </c>
      <c r="AO4" s="68" t="s">
        <v>107</v>
      </c>
      <c r="AP4" s="87" t="s">
        <v>109</v>
      </c>
      <c r="AQ4" s="210"/>
      <c r="AR4" s="211" t="s">
        <v>161</v>
      </c>
      <c r="AS4" s="212" t="s">
        <v>162</v>
      </c>
      <c r="AT4" s="212" t="s">
        <v>163</v>
      </c>
      <c r="AU4" s="212" t="s">
        <v>213</v>
      </c>
      <c r="AV4" s="212" t="s">
        <v>212</v>
      </c>
      <c r="AW4" s="212" t="s">
        <v>211</v>
      </c>
      <c r="AX4" s="212" t="s">
        <v>210</v>
      </c>
      <c r="AY4" s="212" t="s">
        <v>209</v>
      </c>
      <c r="AZ4" s="224" t="s">
        <v>208</v>
      </c>
      <c r="BA4" s="212" t="s">
        <v>164</v>
      </c>
      <c r="BB4" s="471"/>
      <c r="BC4" s="398"/>
      <c r="BG4" s="461" t="s">
        <v>198</v>
      </c>
      <c r="BH4" s="462"/>
      <c r="BI4" s="462"/>
      <c r="BJ4" s="462"/>
      <c r="BK4" s="462"/>
      <c r="BL4" s="464"/>
      <c r="BM4" s="461" t="s">
        <v>197</v>
      </c>
      <c r="BN4" s="462"/>
      <c r="BO4" s="462"/>
      <c r="BP4" s="462"/>
      <c r="BQ4" s="462"/>
      <c r="BR4" s="463"/>
      <c r="BS4" s="461" t="s">
        <v>196</v>
      </c>
      <c r="BT4" s="462"/>
      <c r="BU4" s="462"/>
      <c r="BV4" s="462"/>
      <c r="BW4" s="462"/>
      <c r="BX4" s="463"/>
      <c r="BY4" s="461" t="s">
        <v>194</v>
      </c>
      <c r="BZ4" s="462"/>
      <c r="CA4" s="462"/>
      <c r="CB4" s="462"/>
      <c r="CC4" s="462"/>
      <c r="CD4" s="463"/>
      <c r="CE4" s="461" t="s">
        <v>182</v>
      </c>
      <c r="CF4" s="462"/>
      <c r="CG4" s="462"/>
      <c r="CH4" s="462"/>
      <c r="CI4" s="462"/>
      <c r="CJ4" s="463"/>
      <c r="CK4" s="461" t="s">
        <v>195</v>
      </c>
      <c r="CL4" s="462"/>
      <c r="CM4" s="462"/>
      <c r="CN4" s="462"/>
      <c r="CO4" s="462"/>
      <c r="CP4" s="463"/>
    </row>
    <row r="5" spans="1:94" ht="5.25" customHeight="1" thickBot="1" x14ac:dyDescent="0.3">
      <c r="A5" s="210"/>
      <c r="B5" s="36"/>
      <c r="C5" s="37"/>
      <c r="D5" s="37"/>
      <c r="E5" s="37"/>
      <c r="F5" s="37"/>
      <c r="G5" s="37"/>
      <c r="H5" s="37"/>
      <c r="I5" s="37"/>
      <c r="J5" s="37"/>
      <c r="K5" s="38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  <c r="AL5" s="21"/>
      <c r="AM5" s="71"/>
      <c r="AN5" s="72"/>
      <c r="AO5" s="84"/>
      <c r="AP5" s="73"/>
      <c r="AQ5" s="21"/>
      <c r="AR5" s="210"/>
      <c r="BB5" s="46"/>
      <c r="BC5" s="38"/>
      <c r="BG5" s="210"/>
      <c r="BL5" s="38"/>
      <c r="BM5" s="210"/>
      <c r="BR5" s="38"/>
      <c r="BS5" s="210"/>
      <c r="BX5" s="38"/>
      <c r="BY5" s="210"/>
      <c r="CD5" s="38"/>
      <c r="CE5" s="210"/>
      <c r="CJ5" s="38"/>
      <c r="CK5" s="210"/>
      <c r="CP5" s="38"/>
    </row>
    <row r="6" spans="1:94" ht="15.75" thickBot="1" x14ac:dyDescent="0.3">
      <c r="A6" s="210"/>
      <c r="B6" s="41" t="s">
        <v>75</v>
      </c>
      <c r="C6" s="42" t="s">
        <v>39</v>
      </c>
      <c r="D6" s="42" t="s">
        <v>39</v>
      </c>
      <c r="E6" s="10" t="s">
        <v>41</v>
      </c>
      <c r="F6" s="246" t="s">
        <v>39</v>
      </c>
      <c r="G6" s="1" t="s">
        <v>84</v>
      </c>
      <c r="H6" s="42" t="s">
        <v>39</v>
      </c>
      <c r="I6" s="42" t="s">
        <v>39</v>
      </c>
      <c r="J6" s="42" t="s">
        <v>39</v>
      </c>
      <c r="K6" s="21"/>
      <c r="L6" s="12">
        <v>0.15</v>
      </c>
      <c r="M6" s="12">
        <v>0.28000000000000003</v>
      </c>
      <c r="N6" s="12">
        <v>1.1100000000000001</v>
      </c>
      <c r="O6" s="1">
        <v>0.01</v>
      </c>
      <c r="P6" s="1">
        <v>1E-3</v>
      </c>
      <c r="Q6" s="1">
        <v>0.28999999999999998</v>
      </c>
      <c r="R6" s="12">
        <v>0.05</v>
      </c>
      <c r="S6" s="1">
        <v>0.17</v>
      </c>
      <c r="T6" s="1"/>
      <c r="U6" s="1"/>
      <c r="V6" s="1">
        <v>1.0999999999999999E-2</v>
      </c>
      <c r="W6" s="1">
        <v>1E-3</v>
      </c>
      <c r="X6" s="1">
        <v>0.01</v>
      </c>
      <c r="Y6" s="1">
        <v>3.4000000000000002E-2</v>
      </c>
      <c r="Z6" s="15"/>
      <c r="AA6" s="15">
        <v>8.9999999999999993E-3</v>
      </c>
      <c r="AB6" s="1"/>
      <c r="AC6" s="1"/>
      <c r="AD6" s="1"/>
      <c r="AE6" s="1"/>
      <c r="AF6" s="1">
        <v>1E-3</v>
      </c>
      <c r="AG6" s="43"/>
      <c r="AH6" s="1"/>
      <c r="AI6" s="1"/>
      <c r="AJ6" s="15"/>
      <c r="AK6" s="44">
        <v>3.0000000000000001E-3</v>
      </c>
      <c r="AL6" s="79" t="s">
        <v>89</v>
      </c>
      <c r="AM6" s="74">
        <f>L6+N6/6+X6/15+R6/15+Q6/5+S6/5+V6/5</f>
        <v>0.43320000000000003</v>
      </c>
      <c r="AN6" s="13">
        <f>L6+M6/30+N6/20+X6/20+R6/60+Q6/20+S6/15+V6/10+5*AF6</f>
        <v>0.24809999999999996</v>
      </c>
      <c r="AO6" s="81">
        <f>L6+(0.75+0.25*TANH(20*(L6-0.12)))*(M6/24+N6/6+X6/15+R6/20+Q6/5+S6/5+W6/5+V6/5)</f>
        <v>0.4101794710657638</v>
      </c>
      <c r="AP6" s="85">
        <f>L6+N6/10+S6/10+Q6/20+X6/20+R6/40</f>
        <v>0.29425000000000001</v>
      </c>
      <c r="AQ6" s="21"/>
      <c r="AR6" s="41">
        <v>777</v>
      </c>
      <c r="AS6" s="1">
        <v>833</v>
      </c>
      <c r="AT6" s="1">
        <v>17</v>
      </c>
      <c r="AU6" s="1"/>
      <c r="AV6" s="1"/>
      <c r="AW6" s="1">
        <v>184</v>
      </c>
      <c r="AX6" s="1"/>
      <c r="AY6" s="1"/>
      <c r="AZ6" s="1"/>
      <c r="BA6" s="1"/>
      <c r="BB6" s="53"/>
      <c r="BC6" s="21"/>
      <c r="BG6" s="210"/>
      <c r="BL6" s="21"/>
      <c r="BM6" s="210"/>
      <c r="BR6" s="71">
        <v>215</v>
      </c>
      <c r="BS6" s="164">
        <v>155</v>
      </c>
      <c r="BT6" s="164">
        <v>191</v>
      </c>
      <c r="BU6" s="164">
        <v>178</v>
      </c>
      <c r="BV6" s="164">
        <v>195</v>
      </c>
      <c r="BW6" s="73">
        <v>166</v>
      </c>
      <c r="BX6" s="231">
        <f>(BR6+BS6+BT6+BU6+BV6+BW6)/6</f>
        <v>183.33333333333334</v>
      </c>
      <c r="CD6" s="21"/>
      <c r="CE6" s="210"/>
      <c r="CJ6" s="21"/>
      <c r="CK6" s="210"/>
      <c r="CP6" s="21"/>
    </row>
    <row r="7" spans="1:94" ht="15.75" thickBot="1" x14ac:dyDescent="0.3">
      <c r="A7" s="210"/>
      <c r="B7" s="41" t="s">
        <v>75</v>
      </c>
      <c r="C7" s="42" t="s">
        <v>39</v>
      </c>
      <c r="D7" s="42" t="s">
        <v>39</v>
      </c>
      <c r="E7" s="10" t="s">
        <v>41</v>
      </c>
      <c r="F7" s="246" t="s">
        <v>39</v>
      </c>
      <c r="G7" s="1" t="s">
        <v>84</v>
      </c>
      <c r="H7" s="42" t="s">
        <v>39</v>
      </c>
      <c r="I7" s="42" t="s">
        <v>39</v>
      </c>
      <c r="J7" s="42" t="s">
        <v>39</v>
      </c>
      <c r="K7" s="21"/>
      <c r="L7" s="12">
        <v>0.14000000000000001</v>
      </c>
      <c r="M7" s="12">
        <v>0.28999999999999998</v>
      </c>
      <c r="N7" s="12">
        <v>1.1499999999999999</v>
      </c>
      <c r="O7" s="1">
        <v>0.01</v>
      </c>
      <c r="P7" s="1">
        <v>1E-3</v>
      </c>
      <c r="Q7" s="1">
        <v>0.31</v>
      </c>
      <c r="R7" s="12">
        <v>0.05</v>
      </c>
      <c r="S7" s="1">
        <v>0.16</v>
      </c>
      <c r="T7" s="1"/>
      <c r="U7" s="1"/>
      <c r="V7" s="1">
        <v>1.0999999999999999E-2</v>
      </c>
      <c r="W7" s="1">
        <v>1E-3</v>
      </c>
      <c r="X7" s="1">
        <v>0.01</v>
      </c>
      <c r="Y7" s="1">
        <v>3.4000000000000002E-2</v>
      </c>
      <c r="Z7" s="15"/>
      <c r="AA7" s="15">
        <v>8.9999999999999993E-3</v>
      </c>
      <c r="AB7" s="1"/>
      <c r="AC7" s="1"/>
      <c r="AD7" s="1"/>
      <c r="AE7" s="1"/>
      <c r="AF7" s="1">
        <v>1E-3</v>
      </c>
      <c r="AG7" s="43"/>
      <c r="AH7" s="1"/>
      <c r="AI7" s="1"/>
      <c r="AJ7" s="15"/>
      <c r="AK7" s="44">
        <v>3.0000000000000001E-3</v>
      </c>
      <c r="AL7" s="79" t="s">
        <v>89</v>
      </c>
      <c r="AM7" s="74">
        <f t="shared" ref="AM7:AM70" si="0">L7+N7/6+X7/15+R7/15+Q7/5+S7/5+V7/5</f>
        <v>0.43186666666666662</v>
      </c>
      <c r="AN7" s="13">
        <f t="shared" ref="AN7:AN70" si="1">L7+M7/30+N7/20+X7/20+R7/60+Q7/20+S7/15+V7/10+5*AF7</f>
        <v>0.24076666666666663</v>
      </c>
      <c r="AO7" s="81">
        <f t="shared" ref="AO7:AO70" si="2">L7+(0.75+0.25*TANH(20*(L7-0.12)))*(M7/24+N7/6+X7/15+R7/20+Q7/5+S7/5+W7/5+V7/5)</f>
        <v>0.39629871318367854</v>
      </c>
      <c r="AP7" s="85">
        <f t="shared" ref="AP7:AP70" si="3">L7+N7/10+S7/10+Q7/20+X7/20+R7/40</f>
        <v>0.28825000000000001</v>
      </c>
      <c r="AQ7" s="21"/>
      <c r="AR7" s="41">
        <v>765</v>
      </c>
      <c r="AS7" s="1">
        <v>813</v>
      </c>
      <c r="AT7" s="1">
        <v>18</v>
      </c>
      <c r="AU7" s="1"/>
      <c r="AV7" s="1"/>
      <c r="AW7" s="1">
        <v>229</v>
      </c>
      <c r="AX7" s="1"/>
      <c r="AY7" s="1"/>
      <c r="AZ7" s="1"/>
      <c r="BA7" s="1"/>
      <c r="BB7" s="46"/>
      <c r="BC7" s="21"/>
      <c r="BG7" s="210"/>
      <c r="BL7" s="21"/>
      <c r="BM7" s="210"/>
      <c r="BR7" s="71">
        <v>263</v>
      </c>
      <c r="BS7" s="164">
        <v>238</v>
      </c>
      <c r="BT7" s="164">
        <v>242</v>
      </c>
      <c r="BU7" s="164">
        <v>190</v>
      </c>
      <c r="BV7" s="164">
        <v>201</v>
      </c>
      <c r="BW7" s="73">
        <v>235</v>
      </c>
      <c r="BX7" s="231">
        <f t="shared" ref="BX7:BX11" si="4">(BR7+BS7+BT7+BU7+BV7+BW7)/6</f>
        <v>228.16666666666666</v>
      </c>
      <c r="CD7" s="21"/>
      <c r="CE7" s="210"/>
      <c r="CJ7" s="21"/>
      <c r="CK7" s="210"/>
      <c r="CP7" s="21"/>
    </row>
    <row r="8" spans="1:94" ht="15.75" hidden="1" customHeight="1" thickBot="1" x14ac:dyDescent="0.3">
      <c r="A8" s="210"/>
      <c r="B8" s="41" t="s">
        <v>75</v>
      </c>
      <c r="C8" s="42" t="s">
        <v>39</v>
      </c>
      <c r="D8" s="42" t="s">
        <v>39</v>
      </c>
      <c r="E8" s="10" t="s">
        <v>41</v>
      </c>
      <c r="F8" s="246" t="s">
        <v>39</v>
      </c>
      <c r="G8" s="1" t="s">
        <v>84</v>
      </c>
      <c r="H8" s="42" t="s">
        <v>39</v>
      </c>
      <c r="I8" s="42" t="s">
        <v>39</v>
      </c>
      <c r="J8" s="42" t="s">
        <v>39</v>
      </c>
      <c r="K8" s="21"/>
      <c r="L8" s="16">
        <v>0.14399999999999999</v>
      </c>
      <c r="M8" s="1">
        <v>0.27</v>
      </c>
      <c r="N8" s="1">
        <v>1.1100000000000001</v>
      </c>
      <c r="O8" s="1">
        <v>1.0999999999999999E-2</v>
      </c>
      <c r="P8" s="1" t="s">
        <v>96</v>
      </c>
      <c r="Q8" s="1">
        <v>0.28000000000000003</v>
      </c>
      <c r="R8" s="1">
        <v>5.0999999999999997E-2</v>
      </c>
      <c r="S8" s="1">
        <v>0.16</v>
      </c>
      <c r="T8" s="1" t="s">
        <v>97</v>
      </c>
      <c r="U8" s="1">
        <v>1.4E-2</v>
      </c>
      <c r="V8" s="1">
        <v>1.2E-2</v>
      </c>
      <c r="W8" s="1" t="s">
        <v>97</v>
      </c>
      <c r="X8" s="1">
        <v>8.9999999999999993E-3</v>
      </c>
      <c r="Y8" s="1">
        <v>4.4999999999999998E-2</v>
      </c>
      <c r="Z8" s="1">
        <v>2E-3</v>
      </c>
      <c r="AA8" s="1">
        <v>8.0000000000000002E-3</v>
      </c>
      <c r="AB8" s="1" t="s">
        <v>50</v>
      </c>
      <c r="AC8" s="1" t="s">
        <v>98</v>
      </c>
      <c r="AD8" s="1" t="s">
        <v>97</v>
      </c>
      <c r="AE8" s="1" t="s">
        <v>97</v>
      </c>
      <c r="AF8" s="43">
        <v>1E-3</v>
      </c>
      <c r="AG8" s="15" t="s">
        <v>97</v>
      </c>
      <c r="AH8" s="43">
        <v>1E-3</v>
      </c>
      <c r="AJ8" s="15">
        <v>1.4E-3</v>
      </c>
      <c r="AK8" s="44">
        <v>2.3E-3</v>
      </c>
      <c r="AL8" s="79" t="s">
        <v>95</v>
      </c>
      <c r="AM8" s="74">
        <f t="shared" si="0"/>
        <v>0.42340000000000005</v>
      </c>
      <c r="AN8" s="13">
        <f t="shared" si="1"/>
        <v>0.2406666666666667</v>
      </c>
      <c r="AO8" s="81">
        <f>L8+(0.75+0.25*TANH(20*(L8-0.12)))*(M8/24+N8/6+X8/15+R8/20+Q8/5+S8/5+0.005/5+V8/5)</f>
        <v>0.39454191046508624</v>
      </c>
      <c r="AP8" s="85">
        <f t="shared" si="3"/>
        <v>0.28672500000000006</v>
      </c>
      <c r="AQ8" s="21"/>
      <c r="AR8" s="41"/>
      <c r="AS8" s="1"/>
      <c r="AT8" s="1"/>
      <c r="AU8" s="1"/>
      <c r="AV8" s="1"/>
      <c r="AW8" s="1"/>
      <c r="AX8" s="1"/>
      <c r="AY8" s="1"/>
      <c r="AZ8" s="1"/>
      <c r="BA8" s="1"/>
      <c r="BB8" s="46"/>
      <c r="BC8" s="21"/>
      <c r="BG8" s="210"/>
      <c r="BL8" s="21"/>
      <c r="BM8" s="210"/>
      <c r="BR8" s="168"/>
      <c r="BS8" s="113"/>
      <c r="BT8" s="113"/>
      <c r="BU8" s="113"/>
      <c r="BV8" s="113"/>
      <c r="BW8" s="124"/>
      <c r="BX8" s="231">
        <f t="shared" si="4"/>
        <v>0</v>
      </c>
      <c r="CD8" s="21"/>
      <c r="CE8" s="210"/>
      <c r="CJ8" s="21"/>
      <c r="CK8" s="210"/>
      <c r="CP8" s="21"/>
    </row>
    <row r="9" spans="1:94" ht="15.75" thickBot="1" x14ac:dyDescent="0.3">
      <c r="A9" s="210"/>
      <c r="B9" s="41" t="s">
        <v>75</v>
      </c>
      <c r="C9" s="42" t="s">
        <v>39</v>
      </c>
      <c r="D9" s="42" t="s">
        <v>39</v>
      </c>
      <c r="E9" s="10" t="s">
        <v>42</v>
      </c>
      <c r="F9" s="246" t="s">
        <v>39</v>
      </c>
      <c r="G9" s="1" t="s">
        <v>84</v>
      </c>
      <c r="H9" s="42" t="s">
        <v>39</v>
      </c>
      <c r="I9" s="42" t="s">
        <v>39</v>
      </c>
      <c r="J9" s="42" t="s">
        <v>39</v>
      </c>
      <c r="K9" s="21"/>
      <c r="L9" s="12">
        <v>0.16</v>
      </c>
      <c r="M9" s="12">
        <v>0.23</v>
      </c>
      <c r="N9" s="12">
        <v>1.26</v>
      </c>
      <c r="O9" s="1">
        <v>8.0000000000000002E-3</v>
      </c>
      <c r="P9" s="1">
        <v>1E-3</v>
      </c>
      <c r="Q9" s="1">
        <v>0.2</v>
      </c>
      <c r="R9" s="45">
        <v>0.05</v>
      </c>
      <c r="S9" s="1">
        <v>0.60499999999999998</v>
      </c>
      <c r="T9" s="1"/>
      <c r="U9" s="1"/>
      <c r="V9" s="1">
        <v>0.04</v>
      </c>
      <c r="W9" s="1">
        <v>0.15</v>
      </c>
      <c r="X9" s="1">
        <v>0.01</v>
      </c>
      <c r="Y9" s="1">
        <v>5.3999999999999999E-2</v>
      </c>
      <c r="Z9" s="15"/>
      <c r="AA9" s="15">
        <v>3.0000000000000001E-3</v>
      </c>
      <c r="AB9" s="1"/>
      <c r="AC9" s="1"/>
      <c r="AD9" s="1"/>
      <c r="AE9" s="1"/>
      <c r="AF9" s="1">
        <v>1E-3</v>
      </c>
      <c r="AG9" s="43"/>
      <c r="AH9" s="1"/>
      <c r="AI9" s="1"/>
      <c r="AJ9" s="15"/>
      <c r="AK9" s="44">
        <v>3.0000000000000001E-3</v>
      </c>
      <c r="AL9" s="79" t="s">
        <v>89</v>
      </c>
      <c r="AM9" s="74">
        <f t="shared" si="0"/>
        <v>0.54299999999999993</v>
      </c>
      <c r="AN9" s="13">
        <f t="shared" si="1"/>
        <v>0.29133333333333333</v>
      </c>
      <c r="AO9" s="81">
        <f t="shared" si="2"/>
        <v>0.54632687696511628</v>
      </c>
      <c r="AP9" s="85">
        <f t="shared" si="3"/>
        <v>0.35825000000000001</v>
      </c>
      <c r="AQ9" s="21"/>
      <c r="AR9" s="41">
        <v>1155</v>
      </c>
      <c r="AS9" s="1">
        <v>1393</v>
      </c>
      <c r="AT9" s="1">
        <v>11</v>
      </c>
      <c r="AU9" s="1"/>
      <c r="AV9" s="1"/>
      <c r="AW9" s="1">
        <v>46</v>
      </c>
      <c r="AX9" s="1"/>
      <c r="AY9" s="1"/>
      <c r="AZ9" s="1"/>
      <c r="BA9" s="1"/>
      <c r="BB9" s="46"/>
      <c r="BC9" s="21"/>
      <c r="BG9" s="210"/>
      <c r="BL9" s="21"/>
      <c r="BM9" s="210"/>
      <c r="BR9" s="21"/>
      <c r="BS9" s="210"/>
      <c r="BT9" s="168">
        <v>47</v>
      </c>
      <c r="BU9" s="113">
        <v>46</v>
      </c>
      <c r="BV9" s="113">
        <v>45</v>
      </c>
      <c r="BW9" s="210"/>
      <c r="BX9" s="231">
        <f>(BT9+BU9+BV9)/3</f>
        <v>46</v>
      </c>
      <c r="CD9" s="21"/>
      <c r="CE9" s="210"/>
      <c r="CJ9" s="21"/>
      <c r="CK9" s="210"/>
      <c r="CP9" s="21"/>
    </row>
    <row r="10" spans="1:94" x14ac:dyDescent="0.25">
      <c r="A10" s="210"/>
      <c r="B10" s="41" t="s">
        <v>75</v>
      </c>
      <c r="C10" s="42" t="s">
        <v>39</v>
      </c>
      <c r="D10" s="42" t="s">
        <v>39</v>
      </c>
      <c r="E10" s="10" t="s">
        <v>42</v>
      </c>
      <c r="F10" s="246" t="s">
        <v>39</v>
      </c>
      <c r="G10" s="1" t="s">
        <v>84</v>
      </c>
      <c r="H10" s="42" t="s">
        <v>39</v>
      </c>
      <c r="I10" s="42" t="s">
        <v>39</v>
      </c>
      <c r="J10" s="42" t="s">
        <v>39</v>
      </c>
      <c r="K10" s="21"/>
      <c r="L10" s="12">
        <v>0.16</v>
      </c>
      <c r="M10" s="12">
        <v>0.23</v>
      </c>
      <c r="N10" s="12">
        <v>1.26</v>
      </c>
      <c r="O10" s="1">
        <v>8.0000000000000002E-3</v>
      </c>
      <c r="P10" s="1">
        <v>1E-3</v>
      </c>
      <c r="Q10" s="1">
        <v>0.2</v>
      </c>
      <c r="R10" s="45">
        <v>0.05</v>
      </c>
      <c r="S10" s="1">
        <v>0.60499999999999998</v>
      </c>
      <c r="T10" s="1"/>
      <c r="U10" s="1"/>
      <c r="V10" s="1">
        <v>0.04</v>
      </c>
      <c r="W10" s="1">
        <v>0.15</v>
      </c>
      <c r="X10" s="1">
        <v>0.01</v>
      </c>
      <c r="Y10" s="1">
        <v>5.3999999999999999E-2</v>
      </c>
      <c r="Z10" s="15"/>
      <c r="AA10" s="15">
        <v>3.0000000000000001E-3</v>
      </c>
      <c r="AB10" s="1"/>
      <c r="AC10" s="1"/>
      <c r="AD10" s="1"/>
      <c r="AE10" s="1"/>
      <c r="AF10" s="1">
        <v>1E-3</v>
      </c>
      <c r="AG10" s="43"/>
      <c r="AH10" s="1"/>
      <c r="AI10" s="1"/>
      <c r="AJ10" s="15"/>
      <c r="AK10" s="44">
        <v>3.0000000000000001E-3</v>
      </c>
      <c r="AL10" s="79" t="s">
        <v>89</v>
      </c>
      <c r="AM10" s="74">
        <f t="shared" si="0"/>
        <v>0.54299999999999993</v>
      </c>
      <c r="AN10" s="13">
        <f t="shared" si="1"/>
        <v>0.29133333333333333</v>
      </c>
      <c r="AO10" s="81">
        <f t="shared" si="2"/>
        <v>0.54632687696511628</v>
      </c>
      <c r="AP10" s="85">
        <f t="shared" si="3"/>
        <v>0.35825000000000001</v>
      </c>
      <c r="AQ10" s="21"/>
      <c r="AR10" s="41">
        <v>1193</v>
      </c>
      <c r="AS10" s="1">
        <v>1389</v>
      </c>
      <c r="AT10" s="1">
        <v>11</v>
      </c>
      <c r="AU10" s="1"/>
      <c r="AV10" s="1"/>
      <c r="AW10" s="1">
        <v>49</v>
      </c>
      <c r="AX10" s="1"/>
      <c r="AY10" s="1"/>
      <c r="AZ10" s="1"/>
      <c r="BA10" s="1"/>
      <c r="BB10" s="46"/>
      <c r="BC10" s="21"/>
      <c r="BG10" s="210"/>
      <c r="BL10" s="21"/>
      <c r="BM10" s="210"/>
      <c r="BR10" s="21"/>
      <c r="BS10" s="210"/>
      <c r="BT10" s="168">
        <v>50</v>
      </c>
      <c r="BU10" s="113">
        <v>47</v>
      </c>
      <c r="BV10" s="113">
        <v>50</v>
      </c>
      <c r="BW10" s="210"/>
      <c r="BX10" s="231">
        <f>(BT10+BU10+BV10)/3</f>
        <v>49</v>
      </c>
      <c r="CD10" s="21"/>
      <c r="CE10" s="210"/>
      <c r="CJ10" s="21"/>
      <c r="CK10" s="210"/>
      <c r="CP10" s="21"/>
    </row>
    <row r="11" spans="1:94" ht="15.75" hidden="1" customHeight="1" thickBot="1" x14ac:dyDescent="0.3">
      <c r="A11" s="210"/>
      <c r="B11" s="41" t="s">
        <v>75</v>
      </c>
      <c r="C11" s="42" t="s">
        <v>39</v>
      </c>
      <c r="D11" s="42" t="s">
        <v>39</v>
      </c>
      <c r="E11" s="10" t="s">
        <v>42</v>
      </c>
      <c r="F11" s="42" t="s">
        <v>39</v>
      </c>
      <c r="G11" s="1" t="s">
        <v>84</v>
      </c>
      <c r="H11" s="42" t="s">
        <v>39</v>
      </c>
      <c r="I11" s="42" t="s">
        <v>39</v>
      </c>
      <c r="J11" s="42" t="s">
        <v>39</v>
      </c>
      <c r="K11" s="21"/>
      <c r="L11" s="16">
        <v>0.16900000000000001</v>
      </c>
      <c r="M11" s="1">
        <v>0.21</v>
      </c>
      <c r="N11" s="1">
        <v>1.21</v>
      </c>
      <c r="O11" s="1">
        <v>8.0000000000000002E-3</v>
      </c>
      <c r="P11" s="1" t="s">
        <v>96</v>
      </c>
      <c r="Q11" s="1">
        <v>0.19</v>
      </c>
      <c r="R11" s="1">
        <v>4.3999999999999997E-2</v>
      </c>
      <c r="S11" s="1">
        <v>0.61</v>
      </c>
      <c r="T11" s="1" t="s">
        <v>97</v>
      </c>
      <c r="U11" s="1">
        <v>1.4E-2</v>
      </c>
      <c r="V11" s="1">
        <v>3.7999999999999999E-2</v>
      </c>
      <c r="W11" s="1">
        <v>1.4E-2</v>
      </c>
      <c r="X11" s="1">
        <v>8.0000000000000002E-3</v>
      </c>
      <c r="Y11" s="1">
        <v>5.0999999999999997E-2</v>
      </c>
      <c r="Z11" s="1">
        <v>2E-3</v>
      </c>
      <c r="AA11" s="15">
        <v>3.0999999999999999E-3</v>
      </c>
      <c r="AB11" s="1" t="s">
        <v>50</v>
      </c>
      <c r="AC11" s="1" t="s">
        <v>98</v>
      </c>
      <c r="AD11" s="1" t="s">
        <v>97</v>
      </c>
      <c r="AE11" s="1" t="s">
        <v>97</v>
      </c>
      <c r="AF11" s="1">
        <v>8.9999999999999998E-4</v>
      </c>
      <c r="AG11" s="15" t="s">
        <v>97</v>
      </c>
      <c r="AH11" s="1">
        <v>6.9999999999999999E-4</v>
      </c>
      <c r="AJ11" s="15">
        <v>1.2999999999999999E-3</v>
      </c>
      <c r="AK11" s="44">
        <v>3.2000000000000002E-3</v>
      </c>
      <c r="AL11" s="79" t="s">
        <v>95</v>
      </c>
      <c r="AM11" s="74">
        <f t="shared" si="0"/>
        <v>0.5417333333333334</v>
      </c>
      <c r="AN11" s="13">
        <f t="shared" si="1"/>
        <v>0.29610000000000009</v>
      </c>
      <c r="AO11" s="81">
        <f t="shared" si="2"/>
        <v>0.52887210695317921</v>
      </c>
      <c r="AP11" s="85">
        <f t="shared" si="3"/>
        <v>0.36200000000000004</v>
      </c>
      <c r="AQ11" s="21"/>
      <c r="AR11" s="41"/>
      <c r="AS11" s="1"/>
      <c r="AT11" s="1"/>
      <c r="AU11" s="1"/>
      <c r="AV11" s="1"/>
      <c r="AW11" s="1"/>
      <c r="AX11" s="1"/>
      <c r="AY11" s="1"/>
      <c r="AZ11" s="1"/>
      <c r="BA11" s="1"/>
      <c r="BB11" s="46"/>
      <c r="BC11" s="21"/>
      <c r="BG11" s="210"/>
      <c r="BL11" s="21"/>
      <c r="BM11" s="210"/>
      <c r="BR11" s="229"/>
      <c r="BS11" s="167"/>
      <c r="BT11" s="167"/>
      <c r="BU11" s="167"/>
      <c r="BV11" s="167"/>
      <c r="BW11" s="230"/>
      <c r="BX11" s="231">
        <f t="shared" si="4"/>
        <v>0</v>
      </c>
      <c r="CD11" s="21"/>
      <c r="CE11" s="210"/>
      <c r="CJ11" s="21"/>
      <c r="CK11" s="210"/>
      <c r="CP11" s="21"/>
    </row>
    <row r="12" spans="1:94" ht="6.75" customHeight="1" x14ac:dyDescent="0.25">
      <c r="A12" s="210"/>
      <c r="B12" s="41"/>
      <c r="E12" s="42"/>
      <c r="H12" s="8"/>
      <c r="K12" s="21"/>
      <c r="L12" s="15"/>
      <c r="M12" s="12"/>
      <c r="N12" s="12"/>
      <c r="O12" s="1"/>
      <c r="P12" s="1"/>
      <c r="Q12" s="1"/>
      <c r="R12" s="45"/>
      <c r="S12" s="1"/>
      <c r="T12" s="1"/>
      <c r="U12" s="1"/>
      <c r="V12" s="1"/>
      <c r="W12" s="1"/>
      <c r="X12" s="1"/>
      <c r="Y12" s="1"/>
      <c r="Z12" s="15"/>
      <c r="AA12" s="15"/>
      <c r="AB12" s="1"/>
      <c r="AC12" s="1"/>
      <c r="AD12" s="1"/>
      <c r="AE12" s="1"/>
      <c r="AF12" s="1"/>
      <c r="AG12" s="43"/>
      <c r="AH12" s="1"/>
      <c r="AI12" s="1"/>
      <c r="AJ12" s="15"/>
      <c r="AK12" s="44"/>
      <c r="AL12" s="21"/>
      <c r="AM12" s="74"/>
      <c r="AN12" s="13"/>
      <c r="AO12" s="81"/>
      <c r="AP12" s="85"/>
      <c r="AQ12" s="21"/>
      <c r="AR12" s="41"/>
      <c r="AS12" s="1"/>
      <c r="AT12" s="1"/>
      <c r="AU12" s="1"/>
      <c r="AV12" s="1"/>
      <c r="AW12" s="1"/>
      <c r="AX12" s="1"/>
      <c r="AY12" s="1"/>
      <c r="AZ12" s="1"/>
      <c r="BA12" s="1"/>
      <c r="BB12" s="46"/>
      <c r="BC12" s="21"/>
      <c r="BG12" s="210"/>
      <c r="BL12" s="21"/>
      <c r="BM12" s="210"/>
      <c r="BR12" s="21"/>
      <c r="BS12" s="210"/>
      <c r="BX12" s="21"/>
      <c r="BY12" s="210"/>
      <c r="CD12" s="21"/>
      <c r="CE12" s="210"/>
      <c r="CJ12" s="21"/>
      <c r="CK12" s="210"/>
      <c r="CP12" s="21"/>
    </row>
    <row r="13" spans="1:94" x14ac:dyDescent="0.25">
      <c r="A13" s="210"/>
      <c r="B13" s="41" t="s">
        <v>74</v>
      </c>
      <c r="C13" s="1" t="s">
        <v>34</v>
      </c>
      <c r="D13" s="10">
        <v>3488</v>
      </c>
      <c r="E13" s="42" t="s">
        <v>39</v>
      </c>
      <c r="F13" s="247" t="s">
        <v>37</v>
      </c>
      <c r="G13" s="1" t="s">
        <v>36</v>
      </c>
      <c r="H13" s="8" t="s">
        <v>40</v>
      </c>
      <c r="I13" s="1">
        <v>13</v>
      </c>
      <c r="J13" s="1">
        <v>7</v>
      </c>
      <c r="K13" s="21"/>
      <c r="L13" s="15">
        <v>5.2999999999999999E-2</v>
      </c>
      <c r="M13" s="12">
        <v>0.33</v>
      </c>
      <c r="N13" s="12">
        <v>2.2000000000000002</v>
      </c>
      <c r="O13" s="1">
        <v>8.0000000000000002E-3</v>
      </c>
      <c r="P13" s="1">
        <v>5.0000000000000001E-3</v>
      </c>
      <c r="Q13" s="1">
        <v>0.51</v>
      </c>
      <c r="R13" s="45">
        <v>3.3</v>
      </c>
      <c r="S13" s="1">
        <v>0.62</v>
      </c>
      <c r="T13" s="1">
        <v>5.0000000000000001E-3</v>
      </c>
      <c r="U13" s="1">
        <v>1.7000000000000001E-2</v>
      </c>
      <c r="V13" s="1">
        <v>1.6E-2</v>
      </c>
      <c r="W13" s="1">
        <v>8.9999999999999993E-3</v>
      </c>
      <c r="X13" s="1">
        <v>8.9999999999999993E-3</v>
      </c>
      <c r="Y13" s="1">
        <v>4.0000000000000001E-3</v>
      </c>
      <c r="Z13" s="15">
        <v>2E-3</v>
      </c>
      <c r="AA13" s="15">
        <v>1.2999999999999999E-2</v>
      </c>
      <c r="AB13" s="1" t="s">
        <v>46</v>
      </c>
      <c r="AC13" s="1">
        <v>4.0000000000000001E-3</v>
      </c>
      <c r="AD13" s="1">
        <v>2E-3</v>
      </c>
      <c r="AE13" s="1" t="s">
        <v>47</v>
      </c>
      <c r="AF13" s="1" t="s">
        <v>48</v>
      </c>
      <c r="AG13" s="43">
        <v>4.0000000000000001E-3</v>
      </c>
      <c r="AH13" s="1">
        <v>2.0000000000000001E-4</v>
      </c>
      <c r="AI13" s="1">
        <v>8.9999999999999998E-4</v>
      </c>
      <c r="AJ13" s="15">
        <v>2.4E-2</v>
      </c>
      <c r="AK13" s="44">
        <v>0.01</v>
      </c>
      <c r="AL13" s="425" t="s">
        <v>71</v>
      </c>
      <c r="AM13" s="74">
        <f t="shared" si="0"/>
        <v>0.86946666666666661</v>
      </c>
      <c r="AN13" s="13">
        <f>L13+M13/30+N13/20+X13/20+R13/60+Q13/20+S13/15+V13/10+0.0002</f>
        <v>0.29808333333333331</v>
      </c>
      <c r="AO13" s="81">
        <f t="shared" si="2"/>
        <v>0.46643653401571339</v>
      </c>
      <c r="AP13" s="85">
        <f t="shared" si="3"/>
        <v>0.44345000000000001</v>
      </c>
      <c r="AQ13" s="21"/>
      <c r="AR13" s="41">
        <v>956</v>
      </c>
      <c r="AS13" s="1">
        <v>1058</v>
      </c>
      <c r="AT13" s="1">
        <v>14.9</v>
      </c>
      <c r="AU13" s="1">
        <v>38</v>
      </c>
      <c r="AV13" s="1">
        <v>45</v>
      </c>
      <c r="AW13" s="1">
        <v>55</v>
      </c>
      <c r="AX13" s="1">
        <v>70</v>
      </c>
      <c r="AY13" s="1"/>
      <c r="AZ13" s="1">
        <v>79</v>
      </c>
      <c r="BA13" s="42" t="s">
        <v>39</v>
      </c>
      <c r="BB13" s="203" t="s">
        <v>39</v>
      </c>
      <c r="BC13" s="21"/>
      <c r="BG13" s="250">
        <v>40</v>
      </c>
      <c r="BH13" s="251">
        <v>42</v>
      </c>
      <c r="BI13" s="251">
        <v>50</v>
      </c>
      <c r="BJ13" s="251">
        <v>17</v>
      </c>
      <c r="BK13" s="251">
        <v>43</v>
      </c>
      <c r="BL13" s="252">
        <v>38</v>
      </c>
      <c r="BM13" s="250">
        <v>37</v>
      </c>
      <c r="BN13" s="251">
        <v>45</v>
      </c>
      <c r="BO13" s="251">
        <v>46</v>
      </c>
      <c r="BP13" s="251">
        <v>46</v>
      </c>
      <c r="BQ13" s="251">
        <v>51</v>
      </c>
      <c r="BR13" s="252">
        <v>45</v>
      </c>
      <c r="BS13" s="250">
        <v>62</v>
      </c>
      <c r="BT13" s="251">
        <v>56</v>
      </c>
      <c r="BU13" s="251">
        <v>58</v>
      </c>
      <c r="BV13" s="251">
        <v>62</v>
      </c>
      <c r="BW13" s="251">
        <v>36</v>
      </c>
      <c r="BX13" s="252">
        <v>55</v>
      </c>
      <c r="BY13" s="250">
        <v>78</v>
      </c>
      <c r="BZ13" s="251">
        <v>67</v>
      </c>
      <c r="CA13" s="251">
        <v>68</v>
      </c>
      <c r="CB13" s="251">
        <v>71</v>
      </c>
      <c r="CC13" s="251">
        <v>68</v>
      </c>
      <c r="CD13" s="252">
        <v>70</v>
      </c>
      <c r="CE13" s="253"/>
      <c r="CF13" s="254"/>
      <c r="CG13" s="254"/>
      <c r="CH13" s="254"/>
      <c r="CI13" s="254"/>
      <c r="CJ13" s="252"/>
      <c r="CK13" s="250">
        <v>75</v>
      </c>
      <c r="CL13" s="251">
        <v>79</v>
      </c>
      <c r="CM13" s="251">
        <v>67</v>
      </c>
      <c r="CN13" s="251">
        <v>82</v>
      </c>
      <c r="CO13" s="251">
        <v>91</v>
      </c>
      <c r="CP13" s="255">
        <v>79</v>
      </c>
    </row>
    <row r="14" spans="1:94" x14ac:dyDescent="0.25">
      <c r="A14" s="210"/>
      <c r="B14" s="41" t="s">
        <v>74</v>
      </c>
      <c r="C14" s="1" t="s">
        <v>34</v>
      </c>
      <c r="D14" s="10">
        <v>3489</v>
      </c>
      <c r="E14" s="42" t="s">
        <v>39</v>
      </c>
      <c r="F14" s="247" t="s">
        <v>37</v>
      </c>
      <c r="G14" s="1" t="s">
        <v>36</v>
      </c>
      <c r="H14" s="8" t="s">
        <v>40</v>
      </c>
      <c r="I14" s="1">
        <v>11</v>
      </c>
      <c r="J14" s="1">
        <v>11</v>
      </c>
      <c r="K14" s="21"/>
      <c r="L14" s="15">
        <v>5.6000000000000001E-2</v>
      </c>
      <c r="M14" s="12">
        <v>0.37</v>
      </c>
      <c r="N14" s="12">
        <v>2.2799999999999998</v>
      </c>
      <c r="O14" s="1">
        <v>8.0000000000000002E-3</v>
      </c>
      <c r="P14" s="1">
        <v>5.0000000000000001E-3</v>
      </c>
      <c r="Q14" s="1">
        <v>0.53</v>
      </c>
      <c r="R14" s="45">
        <v>3.4</v>
      </c>
      <c r="S14" s="1">
        <v>0.62</v>
      </c>
      <c r="T14" s="1">
        <v>5.0000000000000001E-3</v>
      </c>
      <c r="U14" s="1">
        <v>1.7000000000000001E-2</v>
      </c>
      <c r="V14" s="1">
        <v>1.6E-2</v>
      </c>
      <c r="W14" s="1">
        <v>8.9999999999999993E-3</v>
      </c>
      <c r="X14" s="1">
        <v>8.9999999999999993E-3</v>
      </c>
      <c r="Y14" s="1">
        <v>4.0000000000000001E-3</v>
      </c>
      <c r="Z14" s="15">
        <v>2E-3</v>
      </c>
      <c r="AA14" s="15">
        <v>1.4999999999999999E-2</v>
      </c>
      <c r="AB14" s="1" t="s">
        <v>46</v>
      </c>
      <c r="AC14" s="1">
        <v>4.0000000000000001E-3</v>
      </c>
      <c r="AD14" s="1">
        <v>2E-3</v>
      </c>
      <c r="AE14" s="1" t="s">
        <v>47</v>
      </c>
      <c r="AF14" s="1" t="s">
        <v>48</v>
      </c>
      <c r="AG14" s="43">
        <v>4.0000000000000001E-3</v>
      </c>
      <c r="AH14" s="1">
        <v>2.0000000000000001E-4</v>
      </c>
      <c r="AI14" s="1">
        <v>8.9999999999999998E-4</v>
      </c>
      <c r="AJ14" s="15">
        <v>2.8000000000000001E-2</v>
      </c>
      <c r="AK14" s="44">
        <v>8.9999999999999993E-3</v>
      </c>
      <c r="AL14" s="425"/>
      <c r="AM14" s="74">
        <f t="shared" si="0"/>
        <v>0.89646666666666652</v>
      </c>
      <c r="AN14" s="13">
        <f t="shared" ref="AN14:AN16" si="5">L14+M14/30+N14/20+X14/20+R14/60+Q14/20+S14/15+V14/10+0.0002</f>
        <v>0.30908333333333332</v>
      </c>
      <c r="AO14" s="81">
        <f t="shared" si="2"/>
        <v>0.48524782698948454</v>
      </c>
      <c r="AP14" s="85">
        <f t="shared" si="3"/>
        <v>0.45794999999999997</v>
      </c>
      <c r="AQ14" s="21"/>
      <c r="AR14" s="41">
        <v>945</v>
      </c>
      <c r="AS14" s="1">
        <v>1053</v>
      </c>
      <c r="AT14" s="1">
        <v>12.6</v>
      </c>
      <c r="AU14" s="1">
        <v>42</v>
      </c>
      <c r="AV14" s="1">
        <v>56</v>
      </c>
      <c r="AW14" s="1">
        <v>61</v>
      </c>
      <c r="AX14" s="1">
        <v>68</v>
      </c>
      <c r="AY14" s="1"/>
      <c r="AZ14" s="1">
        <v>85</v>
      </c>
      <c r="BA14" s="42" t="s">
        <v>39</v>
      </c>
      <c r="BB14" s="203" t="s">
        <v>39</v>
      </c>
      <c r="BC14" s="21"/>
      <c r="BG14" s="250">
        <v>49</v>
      </c>
      <c r="BH14" s="251">
        <v>51</v>
      </c>
      <c r="BI14" s="251">
        <v>36</v>
      </c>
      <c r="BJ14" s="251">
        <v>30</v>
      </c>
      <c r="BK14" s="251">
        <v>45</v>
      </c>
      <c r="BL14" s="252">
        <v>42</v>
      </c>
      <c r="BM14" s="250">
        <v>56</v>
      </c>
      <c r="BN14" s="251">
        <v>57</v>
      </c>
      <c r="BO14" s="251">
        <v>60</v>
      </c>
      <c r="BP14" s="251">
        <v>51</v>
      </c>
      <c r="BQ14" s="251">
        <v>58</v>
      </c>
      <c r="BR14" s="252">
        <v>56</v>
      </c>
      <c r="BS14" s="250">
        <v>67</v>
      </c>
      <c r="BT14" s="251">
        <v>54</v>
      </c>
      <c r="BU14" s="251">
        <v>60</v>
      </c>
      <c r="BV14" s="251">
        <v>71</v>
      </c>
      <c r="BW14" s="251">
        <v>53</v>
      </c>
      <c r="BX14" s="252">
        <v>61</v>
      </c>
      <c r="BY14" s="250">
        <v>71</v>
      </c>
      <c r="BZ14" s="251">
        <v>67</v>
      </c>
      <c r="CA14" s="251">
        <v>67</v>
      </c>
      <c r="CB14" s="251">
        <v>71</v>
      </c>
      <c r="CC14" s="251">
        <v>67</v>
      </c>
      <c r="CD14" s="252">
        <v>68</v>
      </c>
      <c r="CE14" s="253"/>
      <c r="CF14" s="254"/>
      <c r="CG14" s="254"/>
      <c r="CH14" s="254"/>
      <c r="CI14" s="254"/>
      <c r="CJ14" s="252"/>
      <c r="CK14" s="250">
        <v>85</v>
      </c>
      <c r="CL14" s="251">
        <v>84</v>
      </c>
      <c r="CM14" s="251">
        <v>80</v>
      </c>
      <c r="CN14" s="251">
        <v>88</v>
      </c>
      <c r="CO14" s="251">
        <v>87</v>
      </c>
      <c r="CP14" s="255">
        <v>85</v>
      </c>
    </row>
    <row r="15" spans="1:94" x14ac:dyDescent="0.25">
      <c r="A15" s="210"/>
      <c r="B15" s="41" t="s">
        <v>74</v>
      </c>
      <c r="C15" s="1" t="s">
        <v>34</v>
      </c>
      <c r="D15" s="10">
        <v>3490</v>
      </c>
      <c r="E15" s="42" t="s">
        <v>39</v>
      </c>
      <c r="F15" s="247" t="s">
        <v>38</v>
      </c>
      <c r="G15" s="1" t="s">
        <v>36</v>
      </c>
      <c r="H15" s="8" t="s">
        <v>40</v>
      </c>
      <c r="I15" s="1">
        <v>15</v>
      </c>
      <c r="J15" s="1">
        <v>7</v>
      </c>
      <c r="K15" s="21"/>
      <c r="L15" s="12">
        <v>0.1</v>
      </c>
      <c r="M15" s="12">
        <v>0.4</v>
      </c>
      <c r="N15" s="12">
        <v>0.97</v>
      </c>
      <c r="O15" s="1">
        <v>8.0000000000000002E-3</v>
      </c>
      <c r="P15" s="1">
        <v>2E-3</v>
      </c>
      <c r="Q15" s="1">
        <v>0.64</v>
      </c>
      <c r="R15" s="45">
        <v>3.3</v>
      </c>
      <c r="S15" s="1">
        <v>0.86</v>
      </c>
      <c r="T15" s="1">
        <v>3.0000000000000001E-3</v>
      </c>
      <c r="U15" s="1">
        <v>1.6E-2</v>
      </c>
      <c r="V15" s="1">
        <v>4.0000000000000001E-3</v>
      </c>
      <c r="W15" s="1">
        <v>7.0000000000000001E-3</v>
      </c>
      <c r="X15" s="1">
        <v>1.7000000000000001E-2</v>
      </c>
      <c r="Y15" s="1">
        <v>3.0000000000000001E-3</v>
      </c>
      <c r="Z15" s="15">
        <v>2E-3</v>
      </c>
      <c r="AA15" s="15">
        <v>1.7999999999999999E-2</v>
      </c>
      <c r="AB15" s="1" t="s">
        <v>46</v>
      </c>
      <c r="AC15" s="1">
        <v>3.0000000000000001E-3</v>
      </c>
      <c r="AD15" s="1">
        <v>1E-3</v>
      </c>
      <c r="AE15" s="1" t="s">
        <v>47</v>
      </c>
      <c r="AF15" s="1" t="s">
        <v>48</v>
      </c>
      <c r="AG15" s="43">
        <v>3.0000000000000001E-3</v>
      </c>
      <c r="AH15" s="1">
        <v>2.0000000000000001E-4</v>
      </c>
      <c r="AI15" s="1">
        <v>6.9999999999999999E-4</v>
      </c>
      <c r="AJ15" s="15">
        <v>2.1000000000000001E-2</v>
      </c>
      <c r="AK15" s="44">
        <v>1.0999999999999999E-2</v>
      </c>
      <c r="AL15" s="425"/>
      <c r="AM15" s="74">
        <f t="shared" si="0"/>
        <v>0.78359999999999996</v>
      </c>
      <c r="AN15" s="13">
        <f t="shared" si="5"/>
        <v>0.30761666666666665</v>
      </c>
      <c r="AO15" s="81">
        <f t="shared" si="2"/>
        <v>0.52357491776873866</v>
      </c>
      <c r="AP15" s="85">
        <f t="shared" si="3"/>
        <v>0.39835000000000009</v>
      </c>
      <c r="AQ15" s="21"/>
      <c r="AR15" s="41">
        <v>996</v>
      </c>
      <c r="AS15" s="1">
        <v>1128</v>
      </c>
      <c r="AT15" s="1">
        <v>15.4</v>
      </c>
      <c r="AU15" s="1">
        <v>49</v>
      </c>
      <c r="AV15" s="1">
        <v>63</v>
      </c>
      <c r="AW15" s="1">
        <v>74</v>
      </c>
      <c r="AX15" s="1">
        <v>84</v>
      </c>
      <c r="AY15" s="1"/>
      <c r="AZ15" s="1">
        <v>102</v>
      </c>
      <c r="BA15" s="42" t="s">
        <v>39</v>
      </c>
      <c r="BB15" s="203" t="s">
        <v>39</v>
      </c>
      <c r="BC15" s="21"/>
      <c r="BG15" s="250">
        <v>37</v>
      </c>
      <c r="BH15" s="251">
        <v>41</v>
      </c>
      <c r="BI15" s="251">
        <v>61</v>
      </c>
      <c r="BJ15" s="251">
        <v>45</v>
      </c>
      <c r="BK15" s="251">
        <v>60</v>
      </c>
      <c r="BL15" s="252">
        <v>49</v>
      </c>
      <c r="BM15" s="250">
        <v>66</v>
      </c>
      <c r="BN15" s="251">
        <v>60</v>
      </c>
      <c r="BO15" s="251">
        <v>60</v>
      </c>
      <c r="BP15" s="251">
        <v>62</v>
      </c>
      <c r="BQ15" s="251">
        <v>68</v>
      </c>
      <c r="BR15" s="252">
        <v>63</v>
      </c>
      <c r="BS15" s="250">
        <v>71</v>
      </c>
      <c r="BT15" s="251">
        <v>87</v>
      </c>
      <c r="BU15" s="251">
        <v>72</v>
      </c>
      <c r="BV15" s="251">
        <v>79</v>
      </c>
      <c r="BW15" s="251">
        <v>60</v>
      </c>
      <c r="BX15" s="252">
        <v>74</v>
      </c>
      <c r="BY15" s="250">
        <v>75</v>
      </c>
      <c r="BZ15" s="251">
        <v>89</v>
      </c>
      <c r="CA15" s="251">
        <v>84</v>
      </c>
      <c r="CB15" s="251">
        <v>83</v>
      </c>
      <c r="CC15" s="251">
        <v>89</v>
      </c>
      <c r="CD15" s="252">
        <v>84</v>
      </c>
      <c r="CE15" s="253"/>
      <c r="CF15" s="254"/>
      <c r="CG15" s="254"/>
      <c r="CH15" s="254"/>
      <c r="CI15" s="254"/>
      <c r="CJ15" s="252"/>
      <c r="CK15" s="250">
        <v>109</v>
      </c>
      <c r="CL15" s="251">
        <v>89</v>
      </c>
      <c r="CM15" s="251">
        <v>93</v>
      </c>
      <c r="CN15" s="251">
        <v>107</v>
      </c>
      <c r="CO15" s="251">
        <v>110</v>
      </c>
      <c r="CP15" s="255">
        <v>102</v>
      </c>
    </row>
    <row r="16" spans="1:94" x14ac:dyDescent="0.25">
      <c r="A16" s="210"/>
      <c r="B16" s="41" t="s">
        <v>74</v>
      </c>
      <c r="C16" s="1" t="s">
        <v>34</v>
      </c>
      <c r="D16" s="10">
        <v>3491</v>
      </c>
      <c r="E16" s="42" t="s">
        <v>39</v>
      </c>
      <c r="F16" s="247" t="s">
        <v>38</v>
      </c>
      <c r="G16" s="1" t="s">
        <v>36</v>
      </c>
      <c r="H16" s="8" t="s">
        <v>40</v>
      </c>
      <c r="I16" s="1">
        <v>11</v>
      </c>
      <c r="J16" s="1">
        <v>11</v>
      </c>
      <c r="K16" s="21"/>
      <c r="L16" s="12">
        <v>0.11</v>
      </c>
      <c r="M16" s="12">
        <v>0.44</v>
      </c>
      <c r="N16" s="12">
        <v>0.98</v>
      </c>
      <c r="O16" s="1">
        <v>8.0000000000000002E-3</v>
      </c>
      <c r="P16" s="1">
        <v>2E-3</v>
      </c>
      <c r="Q16" s="1">
        <v>0.63</v>
      </c>
      <c r="R16" s="45">
        <v>3.3</v>
      </c>
      <c r="S16" s="1">
        <v>0.85</v>
      </c>
      <c r="T16" s="1">
        <v>3.0000000000000001E-3</v>
      </c>
      <c r="U16" s="1">
        <v>1.7000000000000001E-2</v>
      </c>
      <c r="V16" s="1">
        <v>3.0000000000000001E-3</v>
      </c>
      <c r="W16" s="1">
        <v>6.0000000000000001E-3</v>
      </c>
      <c r="X16" s="1">
        <v>1.7000000000000001E-2</v>
      </c>
      <c r="Y16" s="1">
        <v>3.0000000000000001E-3</v>
      </c>
      <c r="Z16" s="15">
        <v>2E-3</v>
      </c>
      <c r="AA16" s="15">
        <v>2.3E-2</v>
      </c>
      <c r="AB16" s="1" t="s">
        <v>46</v>
      </c>
      <c r="AC16" s="1">
        <v>3.0000000000000001E-3</v>
      </c>
      <c r="AD16" s="1">
        <v>1E-3</v>
      </c>
      <c r="AE16" s="1" t="s">
        <v>47</v>
      </c>
      <c r="AF16" s="1" t="s">
        <v>48</v>
      </c>
      <c r="AG16" s="43">
        <v>2E-3</v>
      </c>
      <c r="AH16" s="1">
        <v>2.0000000000000001E-4</v>
      </c>
      <c r="AI16" s="1">
        <v>6.9999999999999999E-4</v>
      </c>
      <c r="AJ16" s="15">
        <v>1.7999999999999999E-2</v>
      </c>
      <c r="AK16" s="44">
        <v>7.0000000000000001E-3</v>
      </c>
      <c r="AL16" s="425"/>
      <c r="AM16" s="74">
        <f t="shared" si="0"/>
        <v>0.7910666666666667</v>
      </c>
      <c r="AN16" s="13">
        <f t="shared" si="5"/>
        <v>0.31818333333333332</v>
      </c>
      <c r="AO16" s="81">
        <f t="shared" si="2"/>
        <v>0.56234362331570042</v>
      </c>
      <c r="AP16" s="85">
        <f t="shared" si="3"/>
        <v>0.40785000000000005</v>
      </c>
      <c r="AQ16" s="21"/>
      <c r="AR16" s="41">
        <v>992</v>
      </c>
      <c r="AS16" s="1">
        <v>1125</v>
      </c>
      <c r="AT16" s="1">
        <v>15.4</v>
      </c>
      <c r="AU16" s="1">
        <v>51</v>
      </c>
      <c r="AV16" s="1">
        <v>63</v>
      </c>
      <c r="AW16" s="1">
        <v>75</v>
      </c>
      <c r="AX16" s="1">
        <v>82</v>
      </c>
      <c r="AY16" s="1"/>
      <c r="AZ16" s="1">
        <v>92</v>
      </c>
      <c r="BA16" s="42" t="s">
        <v>39</v>
      </c>
      <c r="BB16" s="203" t="s">
        <v>39</v>
      </c>
      <c r="BC16" s="21"/>
      <c r="BG16" s="250">
        <v>51</v>
      </c>
      <c r="BH16" s="251">
        <v>50</v>
      </c>
      <c r="BI16" s="251">
        <v>58</v>
      </c>
      <c r="BJ16" s="251">
        <v>63</v>
      </c>
      <c r="BK16" s="251">
        <v>32</v>
      </c>
      <c r="BL16" s="252">
        <v>51</v>
      </c>
      <c r="BM16" s="250">
        <v>73</v>
      </c>
      <c r="BN16" s="251">
        <v>55</v>
      </c>
      <c r="BO16" s="251">
        <v>59</v>
      </c>
      <c r="BP16" s="251">
        <v>60</v>
      </c>
      <c r="BQ16" s="251">
        <v>70</v>
      </c>
      <c r="BR16" s="252">
        <v>63</v>
      </c>
      <c r="BS16" s="250">
        <v>74</v>
      </c>
      <c r="BT16" s="251">
        <v>72</v>
      </c>
      <c r="BU16" s="251">
        <v>77</v>
      </c>
      <c r="BV16" s="251">
        <v>79</v>
      </c>
      <c r="BW16" s="251">
        <v>72</v>
      </c>
      <c r="BX16" s="252">
        <v>75</v>
      </c>
      <c r="BY16" s="250">
        <v>68</v>
      </c>
      <c r="BZ16" s="251">
        <v>85</v>
      </c>
      <c r="CA16" s="251">
        <v>87</v>
      </c>
      <c r="CB16" s="251">
        <v>82</v>
      </c>
      <c r="CC16" s="251">
        <v>88</v>
      </c>
      <c r="CD16" s="252">
        <v>82</v>
      </c>
      <c r="CE16" s="253"/>
      <c r="CF16" s="254"/>
      <c r="CG16" s="254"/>
      <c r="CH16" s="254"/>
      <c r="CI16" s="254"/>
      <c r="CJ16" s="252"/>
      <c r="CK16" s="250">
        <v>99</v>
      </c>
      <c r="CL16" s="251">
        <v>87</v>
      </c>
      <c r="CM16" s="251">
        <v>90</v>
      </c>
      <c r="CN16" s="251">
        <v>94</v>
      </c>
      <c r="CO16" s="251">
        <v>89</v>
      </c>
      <c r="CP16" s="255">
        <v>92</v>
      </c>
    </row>
    <row r="17" spans="1:94" ht="6.75" customHeight="1" x14ac:dyDescent="0.25">
      <c r="A17" s="210"/>
      <c r="B17" s="41"/>
      <c r="D17" s="10"/>
      <c r="E17" s="42"/>
      <c r="F17" s="247"/>
      <c r="H17" s="8"/>
      <c r="K17" s="21"/>
      <c r="L17" s="15"/>
      <c r="M17" s="12"/>
      <c r="N17" s="12"/>
      <c r="O17" s="1"/>
      <c r="P17" s="1"/>
      <c r="Q17" s="1"/>
      <c r="R17" s="45"/>
      <c r="S17" s="1"/>
      <c r="T17" s="1"/>
      <c r="U17" s="1"/>
      <c r="V17" s="1"/>
      <c r="W17" s="1"/>
      <c r="X17" s="1"/>
      <c r="Y17" s="1"/>
      <c r="Z17" s="15"/>
      <c r="AA17" s="15"/>
      <c r="AB17" s="1"/>
      <c r="AC17" s="1"/>
      <c r="AD17" s="1"/>
      <c r="AE17" s="1"/>
      <c r="AF17" s="1"/>
      <c r="AG17" s="43"/>
      <c r="AH17" s="1"/>
      <c r="AI17" s="1"/>
      <c r="AJ17" s="15"/>
      <c r="AK17" s="44"/>
      <c r="AL17" s="21"/>
      <c r="AM17" s="74"/>
      <c r="AN17" s="13"/>
      <c r="AO17" s="81"/>
      <c r="AP17" s="85"/>
      <c r="AQ17" s="21"/>
      <c r="AR17" s="41"/>
      <c r="AS17" s="1"/>
      <c r="AT17" s="1"/>
      <c r="AU17" s="1"/>
      <c r="AV17" s="1"/>
      <c r="AW17" s="1"/>
      <c r="AX17" s="1"/>
      <c r="AY17" s="1"/>
      <c r="AZ17" s="1"/>
      <c r="BA17" s="1"/>
      <c r="BB17" s="46"/>
      <c r="BC17" s="21"/>
      <c r="BG17" s="250"/>
      <c r="BH17" s="251"/>
      <c r="BI17" s="251"/>
      <c r="BJ17" s="251"/>
      <c r="BK17" s="251"/>
      <c r="BL17" s="252"/>
      <c r="BM17" s="250"/>
      <c r="BN17" s="251"/>
      <c r="BO17" s="251"/>
      <c r="BP17" s="251"/>
      <c r="BQ17" s="251"/>
      <c r="BR17" s="252"/>
      <c r="BS17" s="250"/>
      <c r="BT17" s="251"/>
      <c r="BU17" s="251"/>
      <c r="BV17" s="251"/>
      <c r="BW17" s="251"/>
      <c r="BX17" s="252"/>
      <c r="BY17" s="250"/>
      <c r="BZ17" s="251"/>
      <c r="CA17" s="251"/>
      <c r="CB17" s="251"/>
      <c r="CC17" s="251"/>
      <c r="CD17" s="252"/>
      <c r="CE17" s="253"/>
      <c r="CF17" s="254"/>
      <c r="CG17" s="254"/>
      <c r="CH17" s="254"/>
      <c r="CI17" s="254"/>
      <c r="CJ17" s="252"/>
      <c r="CK17" s="250"/>
      <c r="CL17" s="251"/>
      <c r="CM17" s="251"/>
      <c r="CN17" s="251"/>
      <c r="CO17" s="251"/>
      <c r="CP17" s="255"/>
    </row>
    <row r="18" spans="1:94" ht="15" customHeight="1" x14ac:dyDescent="0.25">
      <c r="A18" s="210"/>
      <c r="B18" s="41"/>
      <c r="C18" s="1" t="s">
        <v>34</v>
      </c>
      <c r="D18" s="10">
        <v>3670</v>
      </c>
      <c r="E18" s="348" t="s">
        <v>41</v>
      </c>
      <c r="F18" s="247" t="s">
        <v>37</v>
      </c>
      <c r="G18" s="1" t="s">
        <v>36</v>
      </c>
      <c r="H18" s="8" t="s">
        <v>43</v>
      </c>
      <c r="I18" s="1">
        <v>10</v>
      </c>
      <c r="J18" s="1" t="s">
        <v>44</v>
      </c>
      <c r="K18" s="21"/>
      <c r="L18" s="15">
        <v>6.7000000000000004E-2</v>
      </c>
      <c r="M18" s="12">
        <v>0.39</v>
      </c>
      <c r="N18" s="12">
        <v>2.25</v>
      </c>
      <c r="O18" s="1">
        <v>8.0000000000000002E-3</v>
      </c>
      <c r="P18" s="1">
        <v>4.0000000000000001E-3</v>
      </c>
      <c r="Q18" s="1">
        <v>0.49</v>
      </c>
      <c r="R18" s="45">
        <v>3.2</v>
      </c>
      <c r="S18" s="1">
        <v>0.59</v>
      </c>
      <c r="T18" s="1">
        <v>4.0000000000000001E-3</v>
      </c>
      <c r="U18" s="1">
        <v>1.7000000000000001E-2</v>
      </c>
      <c r="V18" s="1">
        <v>1.6E-2</v>
      </c>
      <c r="W18" s="1">
        <v>1.0999999999999999E-2</v>
      </c>
      <c r="X18" s="1">
        <v>8.0000000000000002E-3</v>
      </c>
      <c r="Y18" s="1">
        <v>5.0000000000000001E-3</v>
      </c>
      <c r="Z18" s="15">
        <v>2E-3</v>
      </c>
      <c r="AA18" s="15">
        <v>1.6E-2</v>
      </c>
      <c r="AB18" s="1" t="s">
        <v>46</v>
      </c>
      <c r="AC18" s="1">
        <v>4.0000000000000001E-3</v>
      </c>
      <c r="AD18" s="1">
        <v>2E-3</v>
      </c>
      <c r="AE18" s="1" t="s">
        <v>47</v>
      </c>
      <c r="AF18" s="1">
        <v>1E-4</v>
      </c>
      <c r="AG18" s="43">
        <v>4.0000000000000001E-3</v>
      </c>
      <c r="AH18" s="1">
        <v>2.0000000000000001E-4</v>
      </c>
      <c r="AI18" s="1">
        <v>5.9999999999999995E-4</v>
      </c>
      <c r="AJ18" s="15">
        <v>0.03</v>
      </c>
      <c r="AK18" s="44">
        <v>1.4E-2</v>
      </c>
      <c r="AL18" s="425" t="s">
        <v>70</v>
      </c>
      <c r="AM18" s="74">
        <f t="shared" si="0"/>
        <v>0.87506666666666666</v>
      </c>
      <c r="AN18" s="13">
        <f t="shared" si="1"/>
        <v>0.3121666666666667</v>
      </c>
      <c r="AO18" s="81">
        <f t="shared" si="2"/>
        <v>0.49502194964950441</v>
      </c>
      <c r="AP18" s="85">
        <f t="shared" si="3"/>
        <v>0.45590000000000008</v>
      </c>
      <c r="AQ18" s="21"/>
      <c r="AR18" s="41">
        <v>1007</v>
      </c>
      <c r="AS18" s="1">
        <v>1050</v>
      </c>
      <c r="AT18" s="1">
        <v>16.3</v>
      </c>
      <c r="AU18" s="1">
        <v>43</v>
      </c>
      <c r="AV18" s="1">
        <v>58</v>
      </c>
      <c r="AW18" s="1">
        <v>61</v>
      </c>
      <c r="AX18" s="1">
        <v>72</v>
      </c>
      <c r="AY18" s="1"/>
      <c r="AZ18" s="1">
        <v>89</v>
      </c>
      <c r="BA18" s="1" t="s">
        <v>174</v>
      </c>
      <c r="BB18" s="223" t="s">
        <v>175</v>
      </c>
      <c r="BC18" s="385" t="s">
        <v>181</v>
      </c>
      <c r="BG18" s="250">
        <v>53</v>
      </c>
      <c r="BH18" s="251">
        <v>45</v>
      </c>
      <c r="BI18" s="251">
        <v>49</v>
      </c>
      <c r="BJ18" s="251">
        <v>26</v>
      </c>
      <c r="BK18" s="251">
        <v>40</v>
      </c>
      <c r="BL18" s="252">
        <v>43</v>
      </c>
      <c r="BM18" s="250">
        <v>59</v>
      </c>
      <c r="BN18" s="251">
        <v>54</v>
      </c>
      <c r="BO18" s="251">
        <v>59</v>
      </c>
      <c r="BP18" s="251">
        <v>53</v>
      </c>
      <c r="BQ18" s="251">
        <v>66</v>
      </c>
      <c r="BR18" s="252">
        <v>58</v>
      </c>
      <c r="BS18" s="250">
        <v>64</v>
      </c>
      <c r="BT18" s="251">
        <v>64</v>
      </c>
      <c r="BU18" s="251">
        <v>59</v>
      </c>
      <c r="BV18" s="251">
        <v>58</v>
      </c>
      <c r="BW18" s="251">
        <v>61</v>
      </c>
      <c r="BX18" s="252">
        <v>61</v>
      </c>
      <c r="BY18" s="250">
        <v>69</v>
      </c>
      <c r="BZ18" s="251">
        <v>77</v>
      </c>
      <c r="CA18" s="251">
        <v>71</v>
      </c>
      <c r="CB18" s="251">
        <v>68</v>
      </c>
      <c r="CC18" s="251">
        <v>77</v>
      </c>
      <c r="CD18" s="252">
        <v>72</v>
      </c>
      <c r="CE18" s="253"/>
      <c r="CF18" s="254"/>
      <c r="CG18" s="254"/>
      <c r="CH18" s="254"/>
      <c r="CI18" s="254"/>
      <c r="CJ18" s="252"/>
      <c r="CK18" s="250">
        <v>84</v>
      </c>
      <c r="CL18" s="251">
        <v>89</v>
      </c>
      <c r="CM18" s="251">
        <v>93</v>
      </c>
      <c r="CN18" s="251">
        <v>91</v>
      </c>
      <c r="CO18" s="251">
        <v>85</v>
      </c>
      <c r="CP18" s="255">
        <v>89</v>
      </c>
    </row>
    <row r="19" spans="1:94" x14ac:dyDescent="0.25">
      <c r="A19" s="210"/>
      <c r="B19" s="41"/>
      <c r="C19" s="1" t="s">
        <v>34</v>
      </c>
      <c r="D19" s="10">
        <v>3671</v>
      </c>
      <c r="E19" s="348" t="s">
        <v>41</v>
      </c>
      <c r="F19" s="247" t="s">
        <v>37</v>
      </c>
      <c r="G19" s="1" t="s">
        <v>36</v>
      </c>
      <c r="H19" s="8" t="s">
        <v>43</v>
      </c>
      <c r="I19" s="1">
        <v>8</v>
      </c>
      <c r="J19" s="1">
        <v>7</v>
      </c>
      <c r="K19" s="21"/>
      <c r="L19" s="15">
        <v>6.7000000000000004E-2</v>
      </c>
      <c r="M19" s="12">
        <v>0.36</v>
      </c>
      <c r="N19" s="12">
        <v>2.09</v>
      </c>
      <c r="O19" s="1">
        <v>6.0000000000000001E-3</v>
      </c>
      <c r="P19" s="1">
        <v>4.0000000000000001E-3</v>
      </c>
      <c r="Q19" s="1">
        <v>0.51</v>
      </c>
      <c r="R19" s="45">
        <v>3.1</v>
      </c>
      <c r="S19" s="1">
        <v>0.57999999999999996</v>
      </c>
      <c r="T19" s="1">
        <v>4.0000000000000001E-3</v>
      </c>
      <c r="U19" s="1">
        <v>8.0000000000000002E-3</v>
      </c>
      <c r="V19" s="1">
        <v>1.4E-2</v>
      </c>
      <c r="W19" s="1">
        <v>8.0000000000000002E-3</v>
      </c>
      <c r="X19" s="1">
        <v>1.7999999999999999E-2</v>
      </c>
      <c r="Y19" s="1">
        <v>5.0000000000000001E-3</v>
      </c>
      <c r="Z19" s="15">
        <v>3.0000000000000001E-3</v>
      </c>
      <c r="AA19" s="15">
        <v>1.4999999999999999E-2</v>
      </c>
      <c r="AB19" s="1" t="s">
        <v>46</v>
      </c>
      <c r="AC19" s="1">
        <v>4.0000000000000001E-3</v>
      </c>
      <c r="AD19" s="1">
        <v>2E-3</v>
      </c>
      <c r="AE19" s="1" t="s">
        <v>47</v>
      </c>
      <c r="AF19" s="1">
        <v>2.0000000000000001E-4</v>
      </c>
      <c r="AG19" s="43">
        <v>4.0000000000000001E-3</v>
      </c>
      <c r="AH19" s="1">
        <v>2.0000000000000001E-4</v>
      </c>
      <c r="AI19" s="1">
        <v>5.0000000000000001E-4</v>
      </c>
      <c r="AJ19" s="15">
        <v>1.0999999999999999E-2</v>
      </c>
      <c r="AK19" s="44">
        <v>5.0000000000000001E-3</v>
      </c>
      <c r="AL19" s="425"/>
      <c r="AM19" s="74">
        <f t="shared" si="0"/>
        <v>0.84399999999999997</v>
      </c>
      <c r="AN19" s="13">
        <f t="shared" si="1"/>
        <v>0.30263333333333337</v>
      </c>
      <c r="AO19" s="81">
        <f t="shared" si="2"/>
        <v>0.47772244854815243</v>
      </c>
      <c r="AP19" s="85">
        <f t="shared" si="3"/>
        <v>0.43790000000000007</v>
      </c>
      <c r="AQ19" s="21"/>
      <c r="AR19" s="41">
        <v>1005</v>
      </c>
      <c r="AS19" s="1">
        <v>1057</v>
      </c>
      <c r="AT19" s="1">
        <v>15.7</v>
      </c>
      <c r="AU19" s="1">
        <v>44</v>
      </c>
      <c r="AV19" s="1">
        <v>55</v>
      </c>
      <c r="AW19" s="1">
        <v>65</v>
      </c>
      <c r="AX19" s="1">
        <v>77</v>
      </c>
      <c r="AY19" s="1"/>
      <c r="AZ19" s="1">
        <v>89</v>
      </c>
      <c r="BA19" s="1" t="s">
        <v>176</v>
      </c>
      <c r="BB19" s="223" t="s">
        <v>170</v>
      </c>
      <c r="BC19" s="385"/>
      <c r="BG19" s="250">
        <v>62</v>
      </c>
      <c r="BH19" s="251">
        <v>41</v>
      </c>
      <c r="BI19" s="251">
        <v>41</v>
      </c>
      <c r="BJ19" s="251">
        <v>33</v>
      </c>
      <c r="BK19" s="251">
        <v>44</v>
      </c>
      <c r="BL19" s="252">
        <v>44</v>
      </c>
      <c r="BM19" s="250">
        <v>45</v>
      </c>
      <c r="BN19" s="251">
        <v>63</v>
      </c>
      <c r="BO19" s="251">
        <v>51</v>
      </c>
      <c r="BP19" s="251">
        <v>60</v>
      </c>
      <c r="BQ19" s="251">
        <v>54</v>
      </c>
      <c r="BR19" s="252">
        <v>55</v>
      </c>
      <c r="BS19" s="250">
        <v>59</v>
      </c>
      <c r="BT19" s="251">
        <v>68</v>
      </c>
      <c r="BU19" s="251">
        <v>54</v>
      </c>
      <c r="BV19" s="251">
        <v>72</v>
      </c>
      <c r="BW19" s="251">
        <v>73</v>
      </c>
      <c r="BX19" s="252">
        <v>65</v>
      </c>
      <c r="BY19" s="250">
        <v>77</v>
      </c>
      <c r="BZ19" s="251">
        <v>73</v>
      </c>
      <c r="CA19" s="251">
        <v>83</v>
      </c>
      <c r="CB19" s="251">
        <v>78</v>
      </c>
      <c r="CC19" s="251">
        <v>76</v>
      </c>
      <c r="CD19" s="252">
        <v>77</v>
      </c>
      <c r="CE19" s="253"/>
      <c r="CF19" s="254"/>
      <c r="CG19" s="254"/>
      <c r="CH19" s="254"/>
      <c r="CI19" s="254"/>
      <c r="CJ19" s="252"/>
      <c r="CK19" s="250">
        <v>93</v>
      </c>
      <c r="CL19" s="251">
        <v>98</v>
      </c>
      <c r="CM19" s="251">
        <v>81</v>
      </c>
      <c r="CN19" s="251">
        <v>88</v>
      </c>
      <c r="CO19" s="251">
        <v>85</v>
      </c>
      <c r="CP19" s="255">
        <v>89</v>
      </c>
    </row>
    <row r="20" spans="1:94" x14ac:dyDescent="0.25">
      <c r="A20" s="210"/>
      <c r="B20" s="41"/>
      <c r="C20" s="1" t="s">
        <v>34</v>
      </c>
      <c r="D20" s="10">
        <v>4790</v>
      </c>
      <c r="E20" s="348" t="s">
        <v>41</v>
      </c>
      <c r="F20" s="247" t="s">
        <v>37</v>
      </c>
      <c r="G20" s="1" t="s">
        <v>36</v>
      </c>
      <c r="H20" s="8" t="s">
        <v>43</v>
      </c>
      <c r="I20" s="1">
        <v>6</v>
      </c>
      <c r="J20" s="1">
        <v>15</v>
      </c>
      <c r="K20" s="21"/>
      <c r="L20" s="15">
        <v>6.3E-2</v>
      </c>
      <c r="M20" s="12">
        <v>0.34</v>
      </c>
      <c r="N20" s="12">
        <v>2.16</v>
      </c>
      <c r="O20" s="1">
        <v>6.0000000000000001E-3</v>
      </c>
      <c r="P20" s="1">
        <v>4.0000000000000001E-3</v>
      </c>
      <c r="Q20" s="1">
        <v>0.53</v>
      </c>
      <c r="R20" s="45">
        <v>3.1</v>
      </c>
      <c r="S20" s="1">
        <v>0.59</v>
      </c>
      <c r="T20" s="1">
        <v>5.0000000000000001E-3</v>
      </c>
      <c r="U20" s="1">
        <v>8.0000000000000002E-3</v>
      </c>
      <c r="V20" s="1">
        <v>1.4E-2</v>
      </c>
      <c r="W20" s="1">
        <v>8.9999999999999993E-3</v>
      </c>
      <c r="X20" s="1">
        <v>1.9E-2</v>
      </c>
      <c r="Y20" s="1">
        <v>5.0000000000000001E-3</v>
      </c>
      <c r="Z20" s="15">
        <v>3.0000000000000001E-3</v>
      </c>
      <c r="AA20" s="15">
        <v>1.4E-2</v>
      </c>
      <c r="AB20" s="1" t="s">
        <v>49</v>
      </c>
      <c r="AC20" s="1">
        <v>4.0000000000000001E-3</v>
      </c>
      <c r="AD20" s="1">
        <v>2E-3</v>
      </c>
      <c r="AE20" s="1" t="s">
        <v>50</v>
      </c>
      <c r="AF20" s="1">
        <v>2.0000000000000001E-4</v>
      </c>
      <c r="AG20" s="43">
        <v>3.0000000000000001E-3</v>
      </c>
      <c r="AH20" s="1">
        <v>2.0000000000000001E-4</v>
      </c>
      <c r="AI20" s="1">
        <v>6.9999999999999999E-4</v>
      </c>
      <c r="AJ20" s="15">
        <v>2.5000000000000001E-2</v>
      </c>
      <c r="AK20" s="44">
        <v>0.01</v>
      </c>
      <c r="AL20" s="425"/>
      <c r="AM20" s="74">
        <f t="shared" si="0"/>
        <v>0.85773333333333335</v>
      </c>
      <c r="AN20" s="13">
        <f t="shared" si="1"/>
        <v>0.30318333333333336</v>
      </c>
      <c r="AO20" s="81">
        <f t="shared" si="2"/>
        <v>0.47773313892384639</v>
      </c>
      <c r="AP20" s="85">
        <f t="shared" si="3"/>
        <v>0.44295000000000007</v>
      </c>
      <c r="AQ20" s="21"/>
      <c r="AR20" s="41">
        <v>906</v>
      </c>
      <c r="AS20" s="1">
        <v>1007</v>
      </c>
      <c r="AT20" s="1">
        <v>16.899999999999999</v>
      </c>
      <c r="AU20" s="1">
        <v>49</v>
      </c>
      <c r="AV20" s="1">
        <v>52</v>
      </c>
      <c r="AW20" s="1">
        <v>61</v>
      </c>
      <c r="AX20" s="1">
        <v>75</v>
      </c>
      <c r="AY20" s="1"/>
      <c r="AZ20" s="1">
        <v>84</v>
      </c>
      <c r="BA20" s="1" t="s">
        <v>177</v>
      </c>
      <c r="BB20" s="223" t="s">
        <v>170</v>
      </c>
      <c r="BC20" s="385"/>
      <c r="BG20" s="250">
        <v>58</v>
      </c>
      <c r="BH20" s="251">
        <v>53</v>
      </c>
      <c r="BI20" s="251">
        <v>49</v>
      </c>
      <c r="BJ20" s="251">
        <v>48</v>
      </c>
      <c r="BK20" s="251">
        <v>38</v>
      </c>
      <c r="BL20" s="252">
        <v>49</v>
      </c>
      <c r="BM20" s="250">
        <v>58</v>
      </c>
      <c r="BN20" s="251">
        <v>48</v>
      </c>
      <c r="BO20" s="251">
        <v>59</v>
      </c>
      <c r="BP20" s="251">
        <v>49</v>
      </c>
      <c r="BQ20" s="251">
        <v>48</v>
      </c>
      <c r="BR20" s="252">
        <v>52</v>
      </c>
      <c r="BS20" s="250">
        <v>62</v>
      </c>
      <c r="BT20" s="251">
        <v>61</v>
      </c>
      <c r="BU20" s="251">
        <v>56</v>
      </c>
      <c r="BV20" s="251">
        <v>61</v>
      </c>
      <c r="BW20" s="251">
        <v>68</v>
      </c>
      <c r="BX20" s="252">
        <v>61</v>
      </c>
      <c r="BY20" s="250">
        <v>82</v>
      </c>
      <c r="BZ20" s="251">
        <v>75</v>
      </c>
      <c r="CA20" s="251">
        <v>76</v>
      </c>
      <c r="CB20" s="251">
        <v>74</v>
      </c>
      <c r="CC20" s="251">
        <v>66</v>
      </c>
      <c r="CD20" s="252">
        <v>75</v>
      </c>
      <c r="CE20" s="253"/>
      <c r="CF20" s="254"/>
      <c r="CG20" s="254"/>
      <c r="CH20" s="254"/>
      <c r="CI20" s="254"/>
      <c r="CJ20" s="252"/>
      <c r="CK20" s="250">
        <v>91</v>
      </c>
      <c r="CL20" s="251">
        <v>77</v>
      </c>
      <c r="CM20" s="251">
        <v>78</v>
      </c>
      <c r="CN20" s="251">
        <v>82</v>
      </c>
      <c r="CO20" s="251">
        <v>90</v>
      </c>
      <c r="CP20" s="255">
        <v>84</v>
      </c>
    </row>
    <row r="21" spans="1:94" x14ac:dyDescent="0.25">
      <c r="A21" s="210"/>
      <c r="B21" s="41"/>
      <c r="C21" s="1" t="s">
        <v>34</v>
      </c>
      <c r="D21" s="10">
        <v>3672</v>
      </c>
      <c r="E21" s="348" t="s">
        <v>42</v>
      </c>
      <c r="F21" s="247" t="s">
        <v>38</v>
      </c>
      <c r="G21" s="1" t="s">
        <v>36</v>
      </c>
      <c r="H21" s="8" t="s">
        <v>43</v>
      </c>
      <c r="I21" s="1">
        <v>10</v>
      </c>
      <c r="J21" s="1" t="s">
        <v>44</v>
      </c>
      <c r="K21" s="21"/>
      <c r="L21" s="12">
        <v>0.11</v>
      </c>
      <c r="M21" s="12">
        <v>0.39</v>
      </c>
      <c r="N21" s="12">
        <v>1.04</v>
      </c>
      <c r="O21" s="1">
        <v>8.0000000000000002E-3</v>
      </c>
      <c r="P21" s="1">
        <v>2E-3</v>
      </c>
      <c r="Q21" s="1">
        <v>0.59</v>
      </c>
      <c r="R21" s="45">
        <v>3</v>
      </c>
      <c r="S21" s="1">
        <v>0.81</v>
      </c>
      <c r="T21" s="1">
        <v>2E-3</v>
      </c>
      <c r="U21" s="1">
        <v>1.6E-2</v>
      </c>
      <c r="V21" s="1">
        <v>7.0000000000000001E-3</v>
      </c>
      <c r="W21" s="1">
        <v>8.9999999999999993E-3</v>
      </c>
      <c r="X21" s="1">
        <v>1.4999999999999999E-2</v>
      </c>
      <c r="Y21" s="1">
        <v>6.0000000000000001E-3</v>
      </c>
      <c r="Z21" s="15">
        <v>2E-3</v>
      </c>
      <c r="AA21" s="15">
        <v>0.02</v>
      </c>
      <c r="AB21" s="1" t="s">
        <v>46</v>
      </c>
      <c r="AC21" s="1">
        <v>3.0000000000000001E-3</v>
      </c>
      <c r="AD21" s="1">
        <v>1E-3</v>
      </c>
      <c r="AE21" s="1" t="s">
        <v>47</v>
      </c>
      <c r="AF21" s="1">
        <v>2.0000000000000001E-4</v>
      </c>
      <c r="AG21" s="43">
        <v>2.0999999999999999E-3</v>
      </c>
      <c r="AH21" s="1">
        <v>2.9999999999999997E-4</v>
      </c>
      <c r="AI21" s="1">
        <v>5.0000000000000001E-4</v>
      </c>
      <c r="AJ21" s="15">
        <v>2.1000000000000001E-2</v>
      </c>
      <c r="AK21" s="44">
        <v>1.2E-2</v>
      </c>
      <c r="AL21" s="425"/>
      <c r="AM21" s="74">
        <f t="shared" si="0"/>
        <v>0.76573333333333338</v>
      </c>
      <c r="AN21" s="13">
        <f t="shared" si="1"/>
        <v>0.31094999999999995</v>
      </c>
      <c r="AO21" s="81">
        <f t="shared" si="2"/>
        <v>0.54705764120809386</v>
      </c>
      <c r="AP21" s="85">
        <f t="shared" si="3"/>
        <v>0.40024999999999999</v>
      </c>
      <c r="AQ21" s="21"/>
      <c r="AR21" s="41">
        <v>1057</v>
      </c>
      <c r="AS21" s="1">
        <v>1110</v>
      </c>
      <c r="AT21" s="1">
        <v>15.4</v>
      </c>
      <c r="AU21" s="1">
        <v>46</v>
      </c>
      <c r="AV21" s="1">
        <v>56</v>
      </c>
      <c r="AW21" s="1">
        <v>72</v>
      </c>
      <c r="AX21" s="1">
        <v>78</v>
      </c>
      <c r="AY21" s="1"/>
      <c r="AZ21" s="1">
        <v>88</v>
      </c>
      <c r="BA21" s="1" t="s">
        <v>178</v>
      </c>
      <c r="BB21" s="223" t="s">
        <v>170</v>
      </c>
      <c r="BC21" s="385"/>
      <c r="BG21" s="250">
        <v>54</v>
      </c>
      <c r="BH21" s="251">
        <v>43</v>
      </c>
      <c r="BI21" s="251">
        <v>43</v>
      </c>
      <c r="BJ21" s="251">
        <v>39</v>
      </c>
      <c r="BK21" s="251">
        <v>54</v>
      </c>
      <c r="BL21" s="252">
        <v>46</v>
      </c>
      <c r="BM21" s="250">
        <v>60</v>
      </c>
      <c r="BN21" s="251">
        <v>67</v>
      </c>
      <c r="BO21" s="251">
        <v>50</v>
      </c>
      <c r="BP21" s="251">
        <v>63</v>
      </c>
      <c r="BQ21" s="251">
        <v>41</v>
      </c>
      <c r="BR21" s="252">
        <v>56</v>
      </c>
      <c r="BS21" s="250">
        <v>69</v>
      </c>
      <c r="BT21" s="251">
        <v>73</v>
      </c>
      <c r="BU21" s="251">
        <v>69</v>
      </c>
      <c r="BV21" s="251">
        <v>80</v>
      </c>
      <c r="BW21" s="251">
        <v>69</v>
      </c>
      <c r="BX21" s="252">
        <v>72</v>
      </c>
      <c r="BY21" s="250">
        <v>80</v>
      </c>
      <c r="BZ21" s="251">
        <v>78</v>
      </c>
      <c r="CA21" s="251">
        <v>74</v>
      </c>
      <c r="CB21" s="251">
        <v>83</v>
      </c>
      <c r="CC21" s="251">
        <v>77</v>
      </c>
      <c r="CD21" s="252">
        <v>78</v>
      </c>
      <c r="CE21" s="253"/>
      <c r="CF21" s="254"/>
      <c r="CG21" s="254"/>
      <c r="CH21" s="254"/>
      <c r="CI21" s="254"/>
      <c r="CJ21" s="252"/>
      <c r="CK21" s="250">
        <v>94</v>
      </c>
      <c r="CL21" s="251">
        <v>86</v>
      </c>
      <c r="CM21" s="251">
        <v>89</v>
      </c>
      <c r="CN21" s="251">
        <v>77</v>
      </c>
      <c r="CO21" s="251">
        <v>92</v>
      </c>
      <c r="CP21" s="255">
        <v>88</v>
      </c>
    </row>
    <row r="22" spans="1:94" x14ac:dyDescent="0.25">
      <c r="A22" s="210"/>
      <c r="B22" s="41"/>
      <c r="C22" s="1" t="s">
        <v>34</v>
      </c>
      <c r="D22" s="10">
        <v>3673</v>
      </c>
      <c r="E22" s="348" t="s">
        <v>42</v>
      </c>
      <c r="F22" s="247" t="s">
        <v>38</v>
      </c>
      <c r="G22" s="1" t="s">
        <v>36</v>
      </c>
      <c r="H22" s="8" t="s">
        <v>43</v>
      </c>
      <c r="I22" s="1">
        <v>8</v>
      </c>
      <c r="J22" s="1">
        <v>7</v>
      </c>
      <c r="K22" s="21"/>
      <c r="L22" s="12">
        <v>0.11</v>
      </c>
      <c r="M22" s="12">
        <v>0.4</v>
      </c>
      <c r="N22" s="12">
        <v>0.98</v>
      </c>
      <c r="O22" s="1">
        <v>7.0000000000000001E-3</v>
      </c>
      <c r="P22" s="1">
        <v>2E-3</v>
      </c>
      <c r="Q22" s="1">
        <v>0.57999999999999996</v>
      </c>
      <c r="R22" s="45">
        <v>3</v>
      </c>
      <c r="S22" s="1">
        <v>0.79</v>
      </c>
      <c r="T22" s="1">
        <v>2E-3</v>
      </c>
      <c r="U22" s="1">
        <v>1.6E-2</v>
      </c>
      <c r="V22" s="1">
        <v>6.0000000000000001E-3</v>
      </c>
      <c r="W22" s="1">
        <v>7.0000000000000001E-3</v>
      </c>
      <c r="X22" s="1">
        <v>1.6E-2</v>
      </c>
      <c r="Y22" s="1">
        <v>4.0000000000000001E-3</v>
      </c>
      <c r="Z22" s="15">
        <v>2E-3</v>
      </c>
      <c r="AA22" s="15">
        <v>1.9E-2</v>
      </c>
      <c r="AB22" s="1" t="s">
        <v>46</v>
      </c>
      <c r="AC22" s="1">
        <v>3.0000000000000001E-3</v>
      </c>
      <c r="AD22" s="1">
        <v>1E-3</v>
      </c>
      <c r="AE22" s="1" t="s">
        <v>47</v>
      </c>
      <c r="AF22" s="1">
        <v>1.2E-4</v>
      </c>
      <c r="AG22" s="43">
        <v>3.0000000000000001E-3</v>
      </c>
      <c r="AH22" s="1">
        <v>2.0000000000000001E-4</v>
      </c>
      <c r="AI22" s="1">
        <v>5.0000000000000001E-4</v>
      </c>
      <c r="AJ22" s="15">
        <v>1.9E-2</v>
      </c>
      <c r="AK22" s="44">
        <v>5.0000000000000001E-3</v>
      </c>
      <c r="AL22" s="425"/>
      <c r="AM22" s="74">
        <f t="shared" si="0"/>
        <v>0.74960000000000004</v>
      </c>
      <c r="AN22" s="13">
        <f t="shared" si="1"/>
        <v>0.30599999999999994</v>
      </c>
      <c r="AO22" s="81">
        <f t="shared" si="2"/>
        <v>0.53576539926916666</v>
      </c>
      <c r="AP22" s="85">
        <f t="shared" si="3"/>
        <v>0.39180000000000009</v>
      </c>
      <c r="AQ22" s="21"/>
      <c r="AR22" s="41">
        <v>1042</v>
      </c>
      <c r="AS22" s="1">
        <v>1082</v>
      </c>
      <c r="AT22" s="1">
        <v>14.6</v>
      </c>
      <c r="AU22" s="1">
        <v>40</v>
      </c>
      <c r="AV22" s="1">
        <v>53</v>
      </c>
      <c r="AW22" s="1">
        <v>62</v>
      </c>
      <c r="AX22" s="1">
        <v>81</v>
      </c>
      <c r="AY22" s="1"/>
      <c r="AZ22" s="1">
        <v>95</v>
      </c>
      <c r="BA22" s="1" t="s">
        <v>179</v>
      </c>
      <c r="BB22" s="223" t="s">
        <v>170</v>
      </c>
      <c r="BC22" s="385"/>
      <c r="BG22" s="250">
        <v>45</v>
      </c>
      <c r="BH22" s="251">
        <v>48</v>
      </c>
      <c r="BI22" s="251">
        <v>46</v>
      </c>
      <c r="BJ22" s="251">
        <v>37</v>
      </c>
      <c r="BK22" s="251">
        <v>24</v>
      </c>
      <c r="BL22" s="252">
        <v>40</v>
      </c>
      <c r="BM22" s="250">
        <v>51</v>
      </c>
      <c r="BN22" s="251">
        <v>48</v>
      </c>
      <c r="BO22" s="251">
        <v>59</v>
      </c>
      <c r="BP22" s="251">
        <v>54</v>
      </c>
      <c r="BQ22" s="251">
        <v>53</v>
      </c>
      <c r="BR22" s="252">
        <v>53</v>
      </c>
      <c r="BS22" s="250">
        <v>62</v>
      </c>
      <c r="BT22" s="251">
        <v>62</v>
      </c>
      <c r="BU22" s="251">
        <v>58</v>
      </c>
      <c r="BV22" s="251">
        <v>60</v>
      </c>
      <c r="BW22" s="251">
        <v>68</v>
      </c>
      <c r="BX22" s="252">
        <v>62</v>
      </c>
      <c r="BY22" s="250">
        <v>79</v>
      </c>
      <c r="BZ22" s="251">
        <v>93</v>
      </c>
      <c r="CA22" s="251">
        <v>81</v>
      </c>
      <c r="CB22" s="251">
        <v>70</v>
      </c>
      <c r="CC22" s="251">
        <v>85</v>
      </c>
      <c r="CD22" s="252">
        <v>81</v>
      </c>
      <c r="CE22" s="253"/>
      <c r="CF22" s="254"/>
      <c r="CG22" s="254"/>
      <c r="CH22" s="254"/>
      <c r="CI22" s="254"/>
      <c r="CJ22" s="252"/>
      <c r="CK22" s="250">
        <v>101</v>
      </c>
      <c r="CL22" s="251">
        <v>105</v>
      </c>
      <c r="CM22" s="251">
        <v>85</v>
      </c>
      <c r="CN22" s="251">
        <v>91</v>
      </c>
      <c r="CO22" s="251">
        <v>95</v>
      </c>
      <c r="CP22" s="255">
        <v>95</v>
      </c>
    </row>
    <row r="23" spans="1:94" x14ac:dyDescent="0.25">
      <c r="A23" s="210"/>
      <c r="B23" s="41"/>
      <c r="C23" s="1" t="s">
        <v>34</v>
      </c>
      <c r="D23" s="10">
        <v>4791</v>
      </c>
      <c r="E23" s="348" t="s">
        <v>42</v>
      </c>
      <c r="F23" s="247" t="s">
        <v>38</v>
      </c>
      <c r="G23" s="1" t="s">
        <v>36</v>
      </c>
      <c r="H23" s="8" t="s">
        <v>43</v>
      </c>
      <c r="I23" s="1">
        <v>6</v>
      </c>
      <c r="J23" s="1">
        <v>15</v>
      </c>
      <c r="K23" s="21"/>
      <c r="L23" s="12">
        <v>0.12</v>
      </c>
      <c r="M23" s="12">
        <v>0.37</v>
      </c>
      <c r="N23" s="12">
        <v>0.99</v>
      </c>
      <c r="O23" s="1">
        <v>7.0000000000000001E-3</v>
      </c>
      <c r="P23" s="1">
        <v>2E-3</v>
      </c>
      <c r="Q23" s="1">
        <v>0.66</v>
      </c>
      <c r="R23" s="45">
        <v>3</v>
      </c>
      <c r="S23" s="1">
        <v>0.82</v>
      </c>
      <c r="T23" s="1">
        <v>3.0000000000000001E-3</v>
      </c>
      <c r="U23" s="1">
        <v>1.7000000000000001E-2</v>
      </c>
      <c r="V23" s="1">
        <v>6.0000000000000001E-3</v>
      </c>
      <c r="W23" s="1">
        <v>7.0000000000000001E-3</v>
      </c>
      <c r="X23" s="1">
        <v>1.4999999999999999E-2</v>
      </c>
      <c r="Y23" s="1">
        <v>3.0000000000000001E-3</v>
      </c>
      <c r="Z23" s="15">
        <v>2E-3</v>
      </c>
      <c r="AA23" s="15">
        <v>1.7000000000000001E-2</v>
      </c>
      <c r="AB23" s="1" t="s">
        <v>49</v>
      </c>
      <c r="AC23" s="1">
        <v>2E-3</v>
      </c>
      <c r="AD23" s="1">
        <v>2E-3</v>
      </c>
      <c r="AE23" s="1" t="s">
        <v>50</v>
      </c>
      <c r="AF23" s="1">
        <v>1E-4</v>
      </c>
      <c r="AG23" s="43">
        <v>1.8E-3</v>
      </c>
      <c r="AH23" s="1">
        <v>1E-4</v>
      </c>
      <c r="AI23" s="1">
        <v>5.0000000000000001E-4</v>
      </c>
      <c r="AJ23" s="15">
        <v>1.7999999999999999E-2</v>
      </c>
      <c r="AK23" s="44">
        <v>5.0000000000000001E-3</v>
      </c>
      <c r="AL23" s="425"/>
      <c r="AM23" s="74">
        <f t="shared" si="0"/>
        <v>0.78320000000000001</v>
      </c>
      <c r="AN23" s="13">
        <f t="shared" si="1"/>
        <v>0.32135000000000002</v>
      </c>
      <c r="AO23" s="81">
        <f t="shared" si="2"/>
        <v>0.5925125</v>
      </c>
      <c r="AP23" s="85">
        <f t="shared" si="3"/>
        <v>0.40974999999999995</v>
      </c>
      <c r="AQ23" s="21"/>
      <c r="AR23" s="41">
        <v>927</v>
      </c>
      <c r="AS23" s="1">
        <v>1060</v>
      </c>
      <c r="AT23" s="1">
        <v>12.9</v>
      </c>
      <c r="AU23" s="1">
        <v>40</v>
      </c>
      <c r="AV23" s="1">
        <v>62</v>
      </c>
      <c r="AW23" s="1">
        <v>66</v>
      </c>
      <c r="AX23" s="1">
        <v>75</v>
      </c>
      <c r="AY23" s="1"/>
      <c r="AZ23" s="1">
        <v>91</v>
      </c>
      <c r="BA23" s="1" t="s">
        <v>180</v>
      </c>
      <c r="BB23" s="223" t="s">
        <v>170</v>
      </c>
      <c r="BC23" s="385"/>
      <c r="BG23" s="250">
        <v>36</v>
      </c>
      <c r="BH23" s="251">
        <v>49</v>
      </c>
      <c r="BI23" s="251">
        <v>41</v>
      </c>
      <c r="BJ23" s="251">
        <v>31</v>
      </c>
      <c r="BK23" s="251">
        <v>44</v>
      </c>
      <c r="BL23" s="252">
        <v>40</v>
      </c>
      <c r="BM23" s="250">
        <v>65</v>
      </c>
      <c r="BN23" s="251">
        <v>60</v>
      </c>
      <c r="BO23" s="251">
        <v>70</v>
      </c>
      <c r="BP23" s="251">
        <v>64</v>
      </c>
      <c r="BQ23" s="251">
        <v>50</v>
      </c>
      <c r="BR23" s="252">
        <v>62</v>
      </c>
      <c r="BS23" s="250">
        <v>70</v>
      </c>
      <c r="BT23" s="251">
        <v>69</v>
      </c>
      <c r="BU23" s="251">
        <v>64</v>
      </c>
      <c r="BV23" s="251">
        <v>66</v>
      </c>
      <c r="BW23" s="251">
        <v>63</v>
      </c>
      <c r="BX23" s="252">
        <v>66</v>
      </c>
      <c r="BY23" s="250">
        <v>78</v>
      </c>
      <c r="BZ23" s="251">
        <v>76</v>
      </c>
      <c r="CA23" s="251">
        <v>75</v>
      </c>
      <c r="CB23" s="251">
        <v>73</v>
      </c>
      <c r="CC23" s="251">
        <v>73</v>
      </c>
      <c r="CD23" s="252">
        <v>75</v>
      </c>
      <c r="CE23" s="253"/>
      <c r="CF23" s="254"/>
      <c r="CG23" s="254"/>
      <c r="CH23" s="254"/>
      <c r="CI23" s="254"/>
      <c r="CJ23" s="252"/>
      <c r="CK23" s="250">
        <v>89</v>
      </c>
      <c r="CL23" s="251">
        <v>91</v>
      </c>
      <c r="CM23" s="251">
        <v>101</v>
      </c>
      <c r="CN23" s="251">
        <v>82</v>
      </c>
      <c r="CO23" s="251">
        <v>92</v>
      </c>
      <c r="CP23" s="255">
        <v>91</v>
      </c>
    </row>
    <row r="24" spans="1:94" ht="6.75" customHeight="1" x14ac:dyDescent="0.25">
      <c r="A24" s="210"/>
      <c r="B24" s="41"/>
      <c r="E24" s="42"/>
      <c r="F24" s="247"/>
      <c r="H24" s="8"/>
      <c r="K24" s="21"/>
      <c r="L24" s="15"/>
      <c r="M24" s="12"/>
      <c r="N24" s="12"/>
      <c r="O24" s="1"/>
      <c r="P24" s="1"/>
      <c r="Q24" s="1"/>
      <c r="R24" s="45"/>
      <c r="S24" s="1"/>
      <c r="T24" s="1"/>
      <c r="U24" s="1"/>
      <c r="V24" s="1"/>
      <c r="W24" s="1"/>
      <c r="X24" s="1"/>
      <c r="Y24" s="1"/>
      <c r="Z24" s="15"/>
      <c r="AA24" s="15"/>
      <c r="AB24" s="1"/>
      <c r="AC24" s="1"/>
      <c r="AD24" s="1"/>
      <c r="AE24" s="1"/>
      <c r="AF24" s="1"/>
      <c r="AG24" s="43"/>
      <c r="AH24" s="1"/>
      <c r="AI24" s="1"/>
      <c r="AJ24" s="15"/>
      <c r="AK24" s="44"/>
      <c r="AL24" s="21"/>
      <c r="AM24" s="74"/>
      <c r="AN24" s="13"/>
      <c r="AO24" s="81"/>
      <c r="AP24" s="85"/>
      <c r="AQ24" s="21"/>
      <c r="AR24" s="210"/>
      <c r="BB24" s="46"/>
      <c r="BC24" s="21"/>
      <c r="BG24" s="253"/>
      <c r="BH24" s="254"/>
      <c r="BI24" s="254"/>
      <c r="BJ24" s="254"/>
      <c r="BK24" s="254"/>
      <c r="BL24" s="256"/>
      <c r="BM24" s="253"/>
      <c r="BN24" s="254"/>
      <c r="BO24" s="254"/>
      <c r="BP24" s="254"/>
      <c r="BQ24" s="254"/>
      <c r="BR24" s="256"/>
      <c r="BS24" s="253"/>
      <c r="BT24" s="254"/>
      <c r="BU24" s="254"/>
      <c r="BV24" s="254"/>
      <c r="BW24" s="254"/>
      <c r="BX24" s="256"/>
      <c r="BY24" s="253"/>
      <c r="BZ24" s="254"/>
      <c r="CA24" s="254"/>
      <c r="CB24" s="254"/>
      <c r="CC24" s="254"/>
      <c r="CD24" s="256"/>
      <c r="CE24" s="253"/>
      <c r="CF24" s="254"/>
      <c r="CG24" s="254"/>
      <c r="CH24" s="254"/>
      <c r="CI24" s="254"/>
      <c r="CJ24" s="256"/>
      <c r="CK24" s="253"/>
      <c r="CL24" s="254"/>
      <c r="CM24" s="254"/>
      <c r="CN24" s="254"/>
      <c r="CO24" s="254"/>
      <c r="CP24" s="255"/>
    </row>
    <row r="25" spans="1:94" ht="15" hidden="1" customHeight="1" x14ac:dyDescent="0.25">
      <c r="A25" s="210"/>
      <c r="B25" s="41" t="s">
        <v>85</v>
      </c>
      <c r="E25" s="42" t="s">
        <v>39</v>
      </c>
      <c r="F25" s="247" t="s">
        <v>52</v>
      </c>
      <c r="G25" s="1" t="s">
        <v>83</v>
      </c>
      <c r="H25" s="1" t="s">
        <v>85</v>
      </c>
      <c r="I25" s="42" t="s">
        <v>39</v>
      </c>
      <c r="J25" s="42" t="s">
        <v>39</v>
      </c>
      <c r="K25" s="21"/>
      <c r="L25" s="12">
        <v>0.1</v>
      </c>
      <c r="M25" s="12">
        <v>0.77</v>
      </c>
      <c r="N25" s="12">
        <v>1.86</v>
      </c>
      <c r="O25" s="1">
        <v>1.0999999999999999E-2</v>
      </c>
      <c r="P25" s="1">
        <v>8.9999999999999993E-3</v>
      </c>
      <c r="Q25" s="1">
        <v>0.32</v>
      </c>
      <c r="R25" s="12">
        <v>1.85</v>
      </c>
      <c r="S25" s="1">
        <v>0.45</v>
      </c>
      <c r="V25" s="1">
        <v>0.01</v>
      </c>
      <c r="X25" s="1">
        <v>0.04</v>
      </c>
      <c r="Y25" s="1" t="s">
        <v>86</v>
      </c>
      <c r="AA25" s="1" t="s">
        <v>86</v>
      </c>
      <c r="AE25" s="1">
        <v>0.01</v>
      </c>
      <c r="AK25" s="46"/>
      <c r="AL25" s="21"/>
      <c r="AM25" s="74">
        <f t="shared" si="0"/>
        <v>0.69200000000000006</v>
      </c>
      <c r="AN25" s="13">
        <f t="shared" si="1"/>
        <v>0.29850000000000004</v>
      </c>
      <c r="AO25" s="81">
        <f t="shared" si="2"/>
        <v>0.48858631953552201</v>
      </c>
      <c r="AP25" s="85">
        <f t="shared" si="3"/>
        <v>0.39525000000000005</v>
      </c>
      <c r="AQ25" s="21"/>
      <c r="AR25" s="210"/>
      <c r="BB25" s="46"/>
      <c r="BC25" s="21"/>
      <c r="BG25" s="253"/>
      <c r="BH25" s="254"/>
      <c r="BI25" s="254"/>
      <c r="BJ25" s="254"/>
      <c r="BK25" s="254"/>
      <c r="BL25" s="256"/>
      <c r="BM25" s="253"/>
      <c r="BN25" s="254"/>
      <c r="BO25" s="254"/>
      <c r="BP25" s="254"/>
      <c r="BQ25" s="254"/>
      <c r="BR25" s="256"/>
      <c r="BS25" s="253"/>
      <c r="BT25" s="254"/>
      <c r="BU25" s="254"/>
      <c r="BV25" s="254"/>
      <c r="BW25" s="254"/>
      <c r="BX25" s="256"/>
      <c r="BY25" s="253"/>
      <c r="BZ25" s="254"/>
      <c r="CA25" s="254"/>
      <c r="CB25" s="254"/>
      <c r="CC25" s="254"/>
      <c r="CD25" s="256"/>
      <c r="CE25" s="253"/>
      <c r="CF25" s="254"/>
      <c r="CG25" s="254"/>
      <c r="CH25" s="254"/>
      <c r="CI25" s="254"/>
      <c r="CJ25" s="256"/>
      <c r="CK25" s="253"/>
      <c r="CL25" s="254"/>
      <c r="CM25" s="254"/>
      <c r="CN25" s="254"/>
      <c r="CO25" s="254"/>
      <c r="CP25" s="255"/>
    </row>
    <row r="26" spans="1:94" ht="15" hidden="1" customHeight="1" x14ac:dyDescent="0.25">
      <c r="A26" s="210"/>
      <c r="B26" s="41" t="s">
        <v>85</v>
      </c>
      <c r="E26" s="42" t="s">
        <v>39</v>
      </c>
      <c r="F26" s="247" t="s">
        <v>57</v>
      </c>
      <c r="G26" s="1" t="s">
        <v>83</v>
      </c>
      <c r="H26" s="1" t="s">
        <v>85</v>
      </c>
      <c r="I26" s="42" t="s">
        <v>39</v>
      </c>
      <c r="J26" s="42" t="s">
        <v>39</v>
      </c>
      <c r="K26" s="21"/>
      <c r="L26" s="15">
        <v>0.08</v>
      </c>
      <c r="M26" s="12">
        <v>0.8</v>
      </c>
      <c r="N26" s="12">
        <v>1.75</v>
      </c>
      <c r="O26" s="15">
        <v>0.01</v>
      </c>
      <c r="P26" s="1">
        <v>3.0000000000000001E-3</v>
      </c>
      <c r="Q26" s="1">
        <v>0.41</v>
      </c>
      <c r="R26" s="45">
        <v>2.2200000000000002</v>
      </c>
      <c r="S26" s="1">
        <v>0.53</v>
      </c>
      <c r="V26" s="1">
        <v>0.01</v>
      </c>
      <c r="X26" s="1">
        <v>0.105</v>
      </c>
      <c r="Y26" s="1">
        <v>0.01</v>
      </c>
      <c r="AA26" s="15">
        <v>0.05</v>
      </c>
      <c r="AE26" s="1" t="s">
        <v>86</v>
      </c>
      <c r="AK26" s="46"/>
      <c r="AL26" s="21"/>
      <c r="AM26" s="74">
        <f t="shared" si="0"/>
        <v>0.71666666666666667</v>
      </c>
      <c r="AN26" s="13">
        <f t="shared" si="1"/>
        <v>0.29325000000000001</v>
      </c>
      <c r="AO26" s="81">
        <f t="shared" si="2"/>
        <v>0.44966618110511292</v>
      </c>
      <c r="AP26" s="85">
        <f t="shared" si="3"/>
        <v>0.38924999999999998</v>
      </c>
      <c r="AQ26" s="21"/>
      <c r="AR26" s="210"/>
      <c r="BB26" s="46"/>
      <c r="BC26" s="21"/>
      <c r="BG26" s="253"/>
      <c r="BH26" s="254"/>
      <c r="BI26" s="254"/>
      <c r="BJ26" s="254"/>
      <c r="BK26" s="254"/>
      <c r="BL26" s="256"/>
      <c r="BM26" s="253"/>
      <c r="BN26" s="254"/>
      <c r="BO26" s="254"/>
      <c r="BP26" s="254"/>
      <c r="BQ26" s="254"/>
      <c r="BR26" s="256"/>
      <c r="BS26" s="253"/>
      <c r="BT26" s="254"/>
      <c r="BU26" s="254"/>
      <c r="BV26" s="254"/>
      <c r="BW26" s="254"/>
      <c r="BX26" s="256"/>
      <c r="BY26" s="253"/>
      <c r="BZ26" s="254"/>
      <c r="CA26" s="254"/>
      <c r="CB26" s="254"/>
      <c r="CC26" s="254"/>
      <c r="CD26" s="256"/>
      <c r="CE26" s="253"/>
      <c r="CF26" s="254"/>
      <c r="CG26" s="254"/>
      <c r="CH26" s="254"/>
      <c r="CI26" s="254"/>
      <c r="CJ26" s="256"/>
      <c r="CK26" s="253"/>
      <c r="CL26" s="254"/>
      <c r="CM26" s="254"/>
      <c r="CN26" s="254"/>
      <c r="CO26" s="254"/>
      <c r="CP26" s="255"/>
    </row>
    <row r="27" spans="1:94" x14ac:dyDescent="0.25">
      <c r="A27" s="210"/>
      <c r="B27" s="41" t="s">
        <v>88</v>
      </c>
      <c r="C27" s="1" t="s">
        <v>54</v>
      </c>
      <c r="E27" s="42" t="s">
        <v>39</v>
      </c>
      <c r="F27" s="247" t="s">
        <v>52</v>
      </c>
      <c r="G27" s="1" t="s">
        <v>83</v>
      </c>
      <c r="H27" s="1" t="s">
        <v>81</v>
      </c>
      <c r="I27" s="42" t="s">
        <v>39</v>
      </c>
      <c r="J27" s="1" t="s">
        <v>229</v>
      </c>
      <c r="K27" s="21"/>
      <c r="L27" s="15">
        <v>8.6999999999999994E-2</v>
      </c>
      <c r="M27" s="12">
        <v>0.56999999999999995</v>
      </c>
      <c r="N27" s="12">
        <v>1.55</v>
      </c>
      <c r="O27" s="1">
        <v>0.01</v>
      </c>
      <c r="P27" s="1">
        <v>7.0000000000000001E-3</v>
      </c>
      <c r="Q27" s="1">
        <v>0.28000000000000003</v>
      </c>
      <c r="R27" s="45">
        <v>1.86</v>
      </c>
      <c r="S27" s="1">
        <v>0.43</v>
      </c>
      <c r="T27" s="1">
        <v>6.0000000000000001E-3</v>
      </c>
      <c r="U27" s="1">
        <v>5.1000000000000004E-3</v>
      </c>
      <c r="V27" s="1">
        <v>3.0000000000000001E-3</v>
      </c>
      <c r="W27" s="1">
        <v>4.0000000000000001E-3</v>
      </c>
      <c r="X27" s="1">
        <v>3.1E-2</v>
      </c>
      <c r="Y27" s="1">
        <v>3.0000000000000001E-3</v>
      </c>
      <c r="Z27" s="15">
        <v>3.0000000000000001E-3</v>
      </c>
      <c r="AA27" s="15">
        <v>2E-3</v>
      </c>
      <c r="AB27" s="1" t="s">
        <v>46</v>
      </c>
      <c r="AC27" s="1">
        <v>2E-3</v>
      </c>
      <c r="AD27" s="1">
        <v>2E-3</v>
      </c>
      <c r="AE27" s="1" t="s">
        <v>47</v>
      </c>
      <c r="AF27" s="1">
        <v>8.0000000000000004E-4</v>
      </c>
      <c r="AG27" s="43">
        <v>3.0000000000000001E-3</v>
      </c>
      <c r="AH27" s="1">
        <v>2.0000000000000001E-4</v>
      </c>
      <c r="AJ27" s="1">
        <v>2.4E-2</v>
      </c>
      <c r="AK27" s="44">
        <v>1.6E-2</v>
      </c>
      <c r="AL27" s="21" t="s">
        <v>87</v>
      </c>
      <c r="AM27" s="74">
        <f t="shared" si="0"/>
        <v>0.6140000000000001</v>
      </c>
      <c r="AN27" s="13">
        <f t="shared" si="1"/>
        <v>0.26301666666666668</v>
      </c>
      <c r="AO27" s="81">
        <f t="shared" si="2"/>
        <v>0.40214573133492071</v>
      </c>
      <c r="AP27" s="85">
        <f t="shared" si="3"/>
        <v>0.34704999999999997</v>
      </c>
      <c r="AQ27" s="21"/>
      <c r="AR27" s="235">
        <v>810</v>
      </c>
      <c r="AS27" s="236">
        <v>900</v>
      </c>
      <c r="AT27" s="236">
        <v>18</v>
      </c>
      <c r="AU27" s="236"/>
      <c r="AV27" s="236"/>
      <c r="AW27" s="236">
        <v>55</v>
      </c>
      <c r="AX27" s="236">
        <v>60</v>
      </c>
      <c r="AY27" s="237">
        <v>70</v>
      </c>
      <c r="BB27" s="46"/>
      <c r="BC27" s="21" t="s">
        <v>216</v>
      </c>
      <c r="BG27" s="253"/>
      <c r="BH27" s="254"/>
      <c r="BI27" s="254"/>
      <c r="BJ27" s="254"/>
      <c r="BK27" s="254"/>
      <c r="BL27" s="256"/>
      <c r="BM27" s="253"/>
      <c r="BN27" s="254"/>
      <c r="BO27" s="254"/>
      <c r="BP27" s="254"/>
      <c r="BQ27" s="254"/>
      <c r="BR27" s="255"/>
      <c r="BS27" s="253"/>
      <c r="BT27" s="254"/>
      <c r="BU27" s="254"/>
      <c r="BV27" s="254"/>
      <c r="BW27" s="254"/>
      <c r="BX27" s="257">
        <v>55</v>
      </c>
      <c r="BY27" s="253"/>
      <c r="BZ27" s="254"/>
      <c r="CA27" s="254"/>
      <c r="CB27" s="254"/>
      <c r="CC27" s="254"/>
      <c r="CD27" s="257">
        <v>60</v>
      </c>
      <c r="CE27" s="253"/>
      <c r="CF27" s="254"/>
      <c r="CG27" s="254"/>
      <c r="CH27" s="254"/>
      <c r="CI27" s="254"/>
      <c r="CJ27" s="257">
        <v>70</v>
      </c>
      <c r="CK27" s="253"/>
      <c r="CL27" s="254"/>
      <c r="CM27" s="254"/>
      <c r="CN27" s="254"/>
      <c r="CO27" s="254"/>
      <c r="CP27" s="255"/>
    </row>
    <row r="28" spans="1:94" x14ac:dyDescent="0.25">
      <c r="A28" s="210"/>
      <c r="B28" s="41" t="s">
        <v>88</v>
      </c>
      <c r="C28" s="1" t="s">
        <v>54</v>
      </c>
      <c r="E28" s="42" t="s">
        <v>39</v>
      </c>
      <c r="F28" s="247" t="s">
        <v>57</v>
      </c>
      <c r="G28" s="1" t="s">
        <v>83</v>
      </c>
      <c r="H28" s="1" t="s">
        <v>81</v>
      </c>
      <c r="I28" s="42" t="s">
        <v>39</v>
      </c>
      <c r="J28" s="1" t="s">
        <v>229</v>
      </c>
      <c r="K28" s="21"/>
      <c r="L28" s="15">
        <v>8.2000000000000003E-2</v>
      </c>
      <c r="M28" s="12">
        <v>0.7</v>
      </c>
      <c r="N28" s="12">
        <v>1.6</v>
      </c>
      <c r="O28" s="1">
        <v>4.0000000000000001E-3</v>
      </c>
      <c r="P28" s="1">
        <v>4.0000000000000001E-3</v>
      </c>
      <c r="Q28" s="1">
        <v>0.39</v>
      </c>
      <c r="R28" s="45">
        <v>2.2400000000000002</v>
      </c>
      <c r="S28" s="1">
        <v>0.55000000000000004</v>
      </c>
      <c r="T28" s="1">
        <v>6.0000000000000001E-3</v>
      </c>
      <c r="U28" s="1">
        <v>8.0000000000000002E-3</v>
      </c>
      <c r="V28" s="1">
        <v>6.0000000000000001E-3</v>
      </c>
      <c r="W28" s="1">
        <v>5.0000000000000001E-3</v>
      </c>
      <c r="X28" s="1">
        <v>3.4000000000000002E-2</v>
      </c>
      <c r="Y28" s="1">
        <v>6.0000000000000001E-3</v>
      </c>
      <c r="Z28" s="15">
        <v>4.0000000000000001E-3</v>
      </c>
      <c r="AA28" s="15">
        <v>2.1000000000000001E-2</v>
      </c>
      <c r="AB28" s="1" t="s">
        <v>46</v>
      </c>
      <c r="AC28" s="1">
        <v>3.0000000000000001E-3</v>
      </c>
      <c r="AD28" s="1">
        <v>2E-3</v>
      </c>
      <c r="AE28" s="1" t="s">
        <v>47</v>
      </c>
      <c r="AF28" s="1">
        <v>6.9999999999999999E-4</v>
      </c>
      <c r="AG28" s="43">
        <v>4.0000000000000001E-3</v>
      </c>
      <c r="AH28" s="1">
        <v>1E-4</v>
      </c>
      <c r="AJ28" s="1">
        <v>2.5999999999999999E-2</v>
      </c>
      <c r="AK28" s="44">
        <v>1.0999999999999999E-2</v>
      </c>
      <c r="AL28" s="21" t="s">
        <v>87</v>
      </c>
      <c r="AM28" s="74">
        <f t="shared" si="0"/>
        <v>0.68946666666666656</v>
      </c>
      <c r="AN28" s="13">
        <f t="shared" si="1"/>
        <v>0.28463333333333335</v>
      </c>
      <c r="AO28" s="81">
        <f t="shared" si="2"/>
        <v>0.43601537505010918</v>
      </c>
      <c r="AP28" s="85">
        <f t="shared" si="3"/>
        <v>0.37419999999999998</v>
      </c>
      <c r="AQ28" s="21"/>
      <c r="AR28" s="235">
        <v>920</v>
      </c>
      <c r="AS28" s="236">
        <v>1000</v>
      </c>
      <c r="AT28" s="236">
        <v>18</v>
      </c>
      <c r="AU28" s="236"/>
      <c r="AV28" s="236"/>
      <c r="AW28" s="236">
        <v>60</v>
      </c>
      <c r="AX28" s="236"/>
      <c r="AY28" s="237"/>
      <c r="BB28" s="46"/>
      <c r="BC28" s="21" t="s">
        <v>216</v>
      </c>
      <c r="BG28" s="210"/>
      <c r="BL28" s="21"/>
      <c r="BM28" s="210"/>
      <c r="BR28" s="232"/>
      <c r="BS28" s="210"/>
      <c r="BX28" s="238">
        <v>60</v>
      </c>
      <c r="BY28" s="210"/>
      <c r="CD28" s="232"/>
      <c r="CE28" s="210"/>
      <c r="CJ28" s="21"/>
      <c r="CK28" s="210"/>
      <c r="CP28" s="21"/>
    </row>
    <row r="29" spans="1:94" ht="15" hidden="1" customHeight="1" x14ac:dyDescent="0.25">
      <c r="A29" s="210"/>
      <c r="B29" s="41" t="s">
        <v>88</v>
      </c>
      <c r="C29" s="1" t="s">
        <v>54</v>
      </c>
      <c r="E29" s="42" t="s">
        <v>39</v>
      </c>
      <c r="F29" s="1" t="s">
        <v>51</v>
      </c>
      <c r="G29" s="1" t="s">
        <v>83</v>
      </c>
      <c r="H29" s="1" t="s">
        <v>81</v>
      </c>
      <c r="I29" s="42" t="s">
        <v>39</v>
      </c>
      <c r="J29" s="1" t="s">
        <v>229</v>
      </c>
      <c r="K29" s="21"/>
      <c r="L29" s="15">
        <v>0.09</v>
      </c>
      <c r="M29" s="12">
        <v>0.51</v>
      </c>
      <c r="N29" s="12">
        <v>1.33</v>
      </c>
      <c r="O29" s="1">
        <v>0.01</v>
      </c>
      <c r="P29" s="1">
        <v>1.2E-2</v>
      </c>
      <c r="Q29" s="1">
        <v>0.51</v>
      </c>
      <c r="R29" s="45">
        <v>2.71</v>
      </c>
      <c r="S29" s="1">
        <v>0.69</v>
      </c>
      <c r="T29" s="1">
        <v>4.0000000000000001E-3</v>
      </c>
      <c r="U29" s="1">
        <v>7.0000000000000001E-3</v>
      </c>
      <c r="V29" s="1">
        <v>2E-3</v>
      </c>
      <c r="W29" s="1">
        <v>5.0000000000000001E-3</v>
      </c>
      <c r="X29" s="1">
        <v>2.3E-2</v>
      </c>
      <c r="Y29" s="1">
        <v>5.0000000000000001E-3</v>
      </c>
      <c r="Z29" s="15">
        <v>2E-3</v>
      </c>
      <c r="AA29" s="15">
        <v>7.0000000000000001E-3</v>
      </c>
      <c r="AB29" s="1" t="s">
        <v>46</v>
      </c>
      <c r="AC29" s="1">
        <v>3.0000000000000001E-3</v>
      </c>
      <c r="AD29" s="1">
        <v>2E-3</v>
      </c>
      <c r="AE29" s="1" t="s">
        <v>47</v>
      </c>
      <c r="AF29" s="1">
        <v>2.9999999999999997E-4</v>
      </c>
      <c r="AG29" s="43">
        <v>3.0000000000000001E-3</v>
      </c>
      <c r="AH29" s="1">
        <v>5.0000000000000001E-4</v>
      </c>
      <c r="AJ29" s="1">
        <v>2.7E-2</v>
      </c>
      <c r="AK29" s="44">
        <v>4.0000000000000001E-3</v>
      </c>
      <c r="AL29" s="21" t="s">
        <v>87</v>
      </c>
      <c r="AM29" s="74">
        <f t="shared" si="0"/>
        <v>0.73426666666666662</v>
      </c>
      <c r="AN29" s="13">
        <f t="shared" si="1"/>
        <v>0.29301666666666665</v>
      </c>
      <c r="AO29" s="81">
        <f t="shared" si="2"/>
        <v>0.47258856288644269</v>
      </c>
      <c r="AP29" s="85">
        <f t="shared" si="3"/>
        <v>0.38639999999999997</v>
      </c>
      <c r="AQ29" s="21"/>
      <c r="AR29" s="235"/>
      <c r="AS29" s="236"/>
      <c r="AT29" s="236"/>
      <c r="AU29" s="236"/>
      <c r="AV29" s="236"/>
      <c r="AW29" s="236"/>
      <c r="AX29" s="236"/>
      <c r="AY29" s="237"/>
      <c r="BB29" s="46"/>
      <c r="BC29" s="21"/>
      <c r="BG29" s="210"/>
      <c r="BL29" s="21"/>
      <c r="BM29" s="210"/>
      <c r="BR29" s="232"/>
      <c r="BS29" s="210"/>
      <c r="BX29" s="238"/>
      <c r="BY29" s="210"/>
      <c r="CD29" s="232"/>
      <c r="CE29" s="210"/>
      <c r="CJ29" s="21"/>
      <c r="CK29" s="210"/>
      <c r="CP29" s="21"/>
    </row>
    <row r="30" spans="1:94" ht="15" hidden="1" customHeight="1" x14ac:dyDescent="0.25">
      <c r="A30" s="210"/>
      <c r="B30" s="41" t="s">
        <v>88</v>
      </c>
      <c r="C30" s="1" t="s">
        <v>54</v>
      </c>
      <c r="E30" s="42" t="s">
        <v>39</v>
      </c>
      <c r="F30" s="1" t="s">
        <v>53</v>
      </c>
      <c r="G30" s="1" t="s">
        <v>83</v>
      </c>
      <c r="H30" s="1" t="s">
        <v>81</v>
      </c>
      <c r="I30" s="42" t="s">
        <v>39</v>
      </c>
      <c r="J30" s="1" t="s">
        <v>229</v>
      </c>
      <c r="K30" s="21"/>
      <c r="L30" s="12">
        <v>0.1</v>
      </c>
      <c r="M30" s="12">
        <v>0.54</v>
      </c>
      <c r="N30" s="12">
        <v>1.26</v>
      </c>
      <c r="O30" s="1">
        <v>0.01</v>
      </c>
      <c r="P30" s="1">
        <v>8.0000000000000002E-3</v>
      </c>
      <c r="Q30" s="1">
        <v>0.55000000000000004</v>
      </c>
      <c r="R30" s="45">
        <v>2.62</v>
      </c>
      <c r="S30" s="1">
        <v>0.71</v>
      </c>
      <c r="T30" s="1">
        <v>5.0000000000000001E-3</v>
      </c>
      <c r="U30" s="1">
        <v>8.0000000000000002E-3</v>
      </c>
      <c r="V30" s="1">
        <v>3.0000000000000001E-3</v>
      </c>
      <c r="W30" s="1">
        <v>4.0000000000000001E-3</v>
      </c>
      <c r="X30" s="1">
        <v>2.8000000000000001E-2</v>
      </c>
      <c r="Y30" s="1">
        <v>0.01</v>
      </c>
      <c r="Z30" s="15">
        <v>3.0000000000000001E-3</v>
      </c>
      <c r="AA30" s="15">
        <v>1.2E-2</v>
      </c>
      <c r="AB30" s="1" t="s">
        <v>46</v>
      </c>
      <c r="AC30" s="1">
        <v>3.0000000000000001E-3</v>
      </c>
      <c r="AD30" s="1">
        <v>2E-3</v>
      </c>
      <c r="AE30" s="1" t="s">
        <v>47</v>
      </c>
      <c r="AF30" s="1">
        <v>2.0000000000000001E-4</v>
      </c>
      <c r="AG30" s="43">
        <v>3.0000000000000001E-3</v>
      </c>
      <c r="AH30" s="1">
        <v>6.9999999999999999E-4</v>
      </c>
      <c r="AJ30" s="1">
        <v>2.8000000000000001E-2</v>
      </c>
      <c r="AK30" s="44">
        <v>5.0000000000000001E-3</v>
      </c>
      <c r="AL30" s="21" t="s">
        <v>87</v>
      </c>
      <c r="AM30" s="74">
        <f t="shared" si="0"/>
        <v>0.73913333333333342</v>
      </c>
      <c r="AN30" s="13">
        <f t="shared" si="1"/>
        <v>0.30220000000000002</v>
      </c>
      <c r="AO30" s="81">
        <f t="shared" si="2"/>
        <v>0.50530006178046893</v>
      </c>
      <c r="AP30" s="85">
        <f t="shared" si="3"/>
        <v>0.39140000000000003</v>
      </c>
      <c r="AQ30" s="21"/>
      <c r="AR30" s="235"/>
      <c r="AS30" s="236"/>
      <c r="AT30" s="236"/>
      <c r="AU30" s="236"/>
      <c r="AV30" s="236"/>
      <c r="AW30" s="236"/>
      <c r="AX30" s="236"/>
      <c r="AY30" s="237"/>
      <c r="BB30" s="46"/>
      <c r="BC30" s="21"/>
      <c r="BG30" s="210"/>
      <c r="BL30" s="21"/>
      <c r="BM30" s="210"/>
      <c r="BR30" s="232"/>
      <c r="BS30" s="210"/>
      <c r="BX30" s="238"/>
      <c r="BY30" s="210"/>
      <c r="CD30" s="232"/>
      <c r="CE30" s="210"/>
      <c r="CJ30" s="21"/>
      <c r="CK30" s="210"/>
      <c r="CP30" s="21"/>
    </row>
    <row r="31" spans="1:94" x14ac:dyDescent="0.25">
      <c r="A31" s="210"/>
      <c r="B31" s="41" t="s">
        <v>74</v>
      </c>
      <c r="C31" s="1" t="s">
        <v>54</v>
      </c>
      <c r="E31" s="42" t="s">
        <v>39</v>
      </c>
      <c r="F31" s="1" t="s">
        <v>51</v>
      </c>
      <c r="G31" s="1" t="s">
        <v>83</v>
      </c>
      <c r="H31" s="8" t="s">
        <v>40</v>
      </c>
      <c r="I31" s="42" t="s">
        <v>39</v>
      </c>
      <c r="J31" s="1" t="s">
        <v>230</v>
      </c>
      <c r="K31" s="21"/>
      <c r="L31" s="15">
        <v>0.09</v>
      </c>
      <c r="M31" s="12">
        <v>0.56999999999999995</v>
      </c>
      <c r="N31" s="12">
        <v>1.36</v>
      </c>
      <c r="O31" s="1">
        <v>8.9999999999999993E-3</v>
      </c>
      <c r="P31" s="1">
        <v>8.9999999999999993E-3</v>
      </c>
      <c r="Q31" s="1">
        <v>0.5</v>
      </c>
      <c r="R31" s="45">
        <v>2.6</v>
      </c>
      <c r="S31" s="1">
        <v>0.66</v>
      </c>
      <c r="T31" s="1"/>
      <c r="U31" s="1"/>
      <c r="V31" s="1">
        <v>3.0000000000000001E-3</v>
      </c>
      <c r="W31" s="1">
        <v>7.0000000000000001E-3</v>
      </c>
      <c r="X31" s="1"/>
      <c r="Y31" s="1"/>
      <c r="Z31" s="15"/>
      <c r="AA31" s="15"/>
      <c r="AB31" s="1"/>
      <c r="AC31" s="1"/>
      <c r="AD31" s="1"/>
      <c r="AE31" s="1"/>
      <c r="AF31" s="1">
        <v>2.0000000000000001E-4</v>
      </c>
      <c r="AG31" s="43"/>
      <c r="AH31" s="1"/>
      <c r="AJ31" s="1">
        <v>2.1000000000000001E-2</v>
      </c>
      <c r="AK31" s="53">
        <v>4.0000000000000001E-3</v>
      </c>
      <c r="AL31" s="21"/>
      <c r="AM31" s="74">
        <f t="shared" si="0"/>
        <v>0.72260000000000002</v>
      </c>
      <c r="AN31" s="13">
        <f t="shared" si="1"/>
        <v>0.29063333333333335</v>
      </c>
      <c r="AO31" s="81">
        <f t="shared" si="2"/>
        <v>0.4683194488025727</v>
      </c>
      <c r="AP31" s="85">
        <f t="shared" si="3"/>
        <v>0.38200000000000006</v>
      </c>
      <c r="AQ31" s="21"/>
      <c r="AR31" s="235">
        <v>931</v>
      </c>
      <c r="AS31" s="236">
        <v>993</v>
      </c>
      <c r="AT31" s="236">
        <v>19</v>
      </c>
      <c r="AU31" s="236"/>
      <c r="AV31" s="236">
        <v>64</v>
      </c>
      <c r="AW31" s="236">
        <v>82</v>
      </c>
      <c r="AX31" s="236">
        <v>91</v>
      </c>
      <c r="AY31" s="237"/>
      <c r="BB31" s="46"/>
      <c r="BC31" s="21" t="s">
        <v>217</v>
      </c>
      <c r="BG31" s="210"/>
      <c r="BL31" s="21"/>
      <c r="BM31" s="210"/>
      <c r="BR31" s="238">
        <v>64</v>
      </c>
      <c r="BS31" s="210"/>
      <c r="BX31" s="238">
        <v>82</v>
      </c>
      <c r="BY31" s="210"/>
      <c r="CD31" s="238">
        <v>91</v>
      </c>
      <c r="CE31" s="210"/>
      <c r="CJ31" s="21"/>
      <c r="CK31" s="210"/>
      <c r="CP31" s="21"/>
    </row>
    <row r="32" spans="1:94" x14ac:dyDescent="0.25">
      <c r="A32" s="210"/>
      <c r="B32" s="41" t="s">
        <v>74</v>
      </c>
      <c r="C32" s="1" t="s">
        <v>54</v>
      </c>
      <c r="E32" s="42" t="s">
        <v>39</v>
      </c>
      <c r="F32" s="1" t="s">
        <v>53</v>
      </c>
      <c r="G32" s="1" t="s">
        <v>83</v>
      </c>
      <c r="H32" s="8" t="s">
        <v>40</v>
      </c>
      <c r="I32" s="42" t="s">
        <v>39</v>
      </c>
      <c r="J32" s="1" t="s">
        <v>230</v>
      </c>
      <c r="K32" s="21"/>
      <c r="L32" s="12">
        <v>0.11</v>
      </c>
      <c r="M32" s="12">
        <v>0.56000000000000005</v>
      </c>
      <c r="N32" s="12">
        <v>1.29</v>
      </c>
      <c r="O32" s="1">
        <v>0.01</v>
      </c>
      <c r="P32" s="1">
        <v>0.01</v>
      </c>
      <c r="Q32" s="1">
        <v>0.56999999999999995</v>
      </c>
      <c r="R32" s="45">
        <v>2.44</v>
      </c>
      <c r="S32" s="1">
        <v>0.72</v>
      </c>
      <c r="V32" s="1">
        <v>4.0000000000000001E-3</v>
      </c>
      <c r="W32" s="1">
        <v>7.0000000000000001E-3</v>
      </c>
      <c r="AF32" s="1">
        <v>2.0000000000000001E-4</v>
      </c>
      <c r="AJ32" s="1">
        <v>2.1999999999999999E-2</v>
      </c>
      <c r="AK32" s="53">
        <v>3.0000000000000001E-3</v>
      </c>
      <c r="AL32" s="21"/>
      <c r="AM32" s="74">
        <f t="shared" si="0"/>
        <v>0.74646666666666672</v>
      </c>
      <c r="AN32" s="13">
        <f>L32+M32/30+N32/20+X32/20+R32/60+Q32/20+S32/15+V32/10+5*AF32</f>
        <v>0.31173333333333331</v>
      </c>
      <c r="AO32" s="81">
        <f t="shared" si="2"/>
        <v>0.54478050865577654</v>
      </c>
      <c r="AP32" s="85">
        <f t="shared" si="3"/>
        <v>0.40050000000000002</v>
      </c>
      <c r="AQ32" s="21"/>
      <c r="AR32" s="41">
        <v>992</v>
      </c>
      <c r="AS32" s="1">
        <v>1046</v>
      </c>
      <c r="AT32" s="1">
        <v>14.6</v>
      </c>
      <c r="AU32" s="1"/>
      <c r="AV32" s="1">
        <v>66</v>
      </c>
      <c r="AW32" s="1">
        <v>78</v>
      </c>
      <c r="AX32" s="1">
        <v>89</v>
      </c>
      <c r="BB32" s="46"/>
      <c r="BC32" s="21"/>
      <c r="BG32" s="210"/>
      <c r="BL32" s="21"/>
      <c r="BM32" s="210"/>
      <c r="BR32" s="232">
        <v>66</v>
      </c>
      <c r="BS32" s="233"/>
      <c r="BT32" s="234"/>
      <c r="BU32" s="234"/>
      <c r="BV32" s="234"/>
      <c r="BW32" s="234"/>
      <c r="BX32" s="232">
        <v>78</v>
      </c>
      <c r="BY32" s="233"/>
      <c r="BZ32" s="234"/>
      <c r="CA32" s="234"/>
      <c r="CB32" s="234"/>
      <c r="CC32" s="234"/>
      <c r="CD32" s="232">
        <v>89</v>
      </c>
      <c r="CE32" s="210"/>
      <c r="CJ32" s="21"/>
      <c r="CK32" s="210"/>
      <c r="CP32" s="21"/>
    </row>
    <row r="33" spans="1:94" ht="6.75" customHeight="1" x14ac:dyDescent="0.25">
      <c r="A33" s="210"/>
      <c r="B33" s="41"/>
      <c r="E33" s="42"/>
      <c r="H33" s="8"/>
      <c r="K33" s="21"/>
      <c r="L33" s="15"/>
      <c r="M33" s="12"/>
      <c r="N33" s="12"/>
      <c r="O33" s="1"/>
      <c r="P33" s="1"/>
      <c r="Q33" s="1"/>
      <c r="R33" s="45"/>
      <c r="S33" s="1"/>
      <c r="T33" s="1"/>
      <c r="U33" s="1"/>
      <c r="V33" s="1"/>
      <c r="W33" s="1"/>
      <c r="X33" s="1"/>
      <c r="Y33" s="1"/>
      <c r="Z33" s="15"/>
      <c r="AA33" s="15"/>
      <c r="AB33" s="1"/>
      <c r="AC33" s="1"/>
      <c r="AD33" s="1"/>
      <c r="AE33" s="1"/>
      <c r="AF33" s="1"/>
      <c r="AG33" s="43"/>
      <c r="AH33" s="1"/>
      <c r="AI33" s="1"/>
      <c r="AJ33" s="15"/>
      <c r="AK33" s="44"/>
      <c r="AL33" s="21"/>
      <c r="AM33" s="74"/>
      <c r="AN33" s="13"/>
      <c r="AO33" s="81"/>
      <c r="AP33" s="85"/>
      <c r="AQ33" s="21"/>
      <c r="AR33" s="210"/>
      <c r="BB33" s="46"/>
      <c r="BC33" s="21"/>
      <c r="BG33" s="210"/>
      <c r="BL33" s="21"/>
      <c r="BM33" s="210"/>
      <c r="BR33" s="21"/>
      <c r="BS33" s="210"/>
      <c r="BX33" s="21"/>
      <c r="BY33" s="210"/>
      <c r="CD33" s="21"/>
      <c r="CE33" s="210"/>
      <c r="CJ33" s="21"/>
      <c r="CK33" s="210"/>
      <c r="CP33" s="21"/>
    </row>
    <row r="34" spans="1:94" ht="33" hidden="1" customHeight="1" x14ac:dyDescent="0.25">
      <c r="A34" s="210"/>
      <c r="B34" s="48">
        <v>3</v>
      </c>
      <c r="C34" s="49" t="s">
        <v>54</v>
      </c>
      <c r="D34" s="49">
        <v>4361</v>
      </c>
      <c r="E34" s="25" t="s">
        <v>41</v>
      </c>
      <c r="F34" s="49" t="s">
        <v>52</v>
      </c>
      <c r="G34" s="1" t="s">
        <v>83</v>
      </c>
      <c r="H34" s="26" t="s">
        <v>43</v>
      </c>
      <c r="I34" s="49"/>
      <c r="J34" s="49" t="s">
        <v>55</v>
      </c>
      <c r="K34" s="27"/>
      <c r="L34" s="28" t="s">
        <v>99</v>
      </c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1"/>
      <c r="AL34" s="21"/>
      <c r="AM34" s="74"/>
      <c r="AN34" s="13"/>
      <c r="AO34" s="81"/>
      <c r="AP34" s="85"/>
      <c r="AQ34" s="21"/>
      <c r="AR34" s="210"/>
      <c r="BB34" s="46"/>
      <c r="BC34" s="21"/>
      <c r="BG34" s="210"/>
      <c r="BL34" s="21"/>
      <c r="BM34" s="210"/>
      <c r="BR34" s="21"/>
      <c r="BS34" s="210"/>
      <c r="BX34" s="21"/>
      <c r="BY34" s="210"/>
      <c r="CD34" s="21"/>
      <c r="CE34" s="210"/>
      <c r="CJ34" s="21"/>
      <c r="CK34" s="210"/>
      <c r="CP34" s="21"/>
    </row>
    <row r="35" spans="1:94" ht="34.5" hidden="1" customHeight="1" x14ac:dyDescent="0.25">
      <c r="A35" s="210"/>
      <c r="B35" s="48">
        <v>4</v>
      </c>
      <c r="C35" s="49" t="s">
        <v>54</v>
      </c>
      <c r="D35" s="49">
        <v>4362</v>
      </c>
      <c r="E35" s="25" t="s">
        <v>41</v>
      </c>
      <c r="F35" s="49" t="s">
        <v>52</v>
      </c>
      <c r="G35" s="1" t="s">
        <v>83</v>
      </c>
      <c r="H35" s="26" t="s">
        <v>43</v>
      </c>
      <c r="I35" s="49"/>
      <c r="J35" s="49" t="s">
        <v>56</v>
      </c>
      <c r="K35" s="27"/>
      <c r="L35" s="28" t="s">
        <v>99</v>
      </c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1"/>
      <c r="AL35" s="21"/>
      <c r="AM35" s="74"/>
      <c r="AN35" s="13"/>
      <c r="AO35" s="81"/>
      <c r="AP35" s="85"/>
      <c r="AQ35" s="21"/>
      <c r="AR35" s="210"/>
      <c r="BB35" s="46"/>
      <c r="BC35" s="21"/>
      <c r="BG35" s="210"/>
      <c r="BL35" s="21"/>
      <c r="BM35" s="210"/>
      <c r="BR35" s="21"/>
      <c r="BS35" s="210"/>
      <c r="BX35" s="21"/>
      <c r="BY35" s="210"/>
      <c r="CD35" s="21"/>
      <c r="CE35" s="210"/>
      <c r="CJ35" s="21"/>
      <c r="CK35" s="210"/>
      <c r="CP35" s="21"/>
    </row>
    <row r="36" spans="1:94" x14ac:dyDescent="0.25">
      <c r="A36" s="210"/>
      <c r="B36" s="41">
        <v>5</v>
      </c>
      <c r="C36" s="1" t="s">
        <v>54</v>
      </c>
      <c r="D36" s="25">
        <v>4363</v>
      </c>
      <c r="E36" s="348" t="s">
        <v>42</v>
      </c>
      <c r="F36" s="1" t="s">
        <v>57</v>
      </c>
      <c r="G36" s="1" t="s">
        <v>83</v>
      </c>
      <c r="H36" s="8" t="s">
        <v>43</v>
      </c>
      <c r="I36" s="1">
        <v>3</v>
      </c>
      <c r="J36" s="1">
        <v>10</v>
      </c>
      <c r="K36" s="21"/>
      <c r="L36" s="1">
        <v>0.121</v>
      </c>
      <c r="M36" s="1">
        <v>0.57999999999999996</v>
      </c>
      <c r="N36" s="1">
        <v>1.56</v>
      </c>
      <c r="O36" s="1">
        <v>4.0000000000000001E-3</v>
      </c>
      <c r="P36" s="1">
        <v>3.0000000000000001E-3</v>
      </c>
      <c r="Q36" s="1">
        <v>0.33</v>
      </c>
      <c r="R36" s="1">
        <v>1.49</v>
      </c>
      <c r="S36" s="1">
        <v>0.56999999999999995</v>
      </c>
      <c r="T36" s="1">
        <v>6.0000000000000001E-3</v>
      </c>
      <c r="U36" s="15">
        <v>0.01</v>
      </c>
      <c r="V36" s="1">
        <v>1.7000000000000001E-2</v>
      </c>
      <c r="W36" s="1">
        <v>8.9999999999999993E-3</v>
      </c>
      <c r="X36" s="1">
        <v>2.4E-2</v>
      </c>
      <c r="Y36" s="1">
        <v>2.4E-2</v>
      </c>
      <c r="Z36" s="1">
        <v>3.0000000000000001E-3</v>
      </c>
      <c r="AA36" s="1">
        <v>2.8000000000000001E-2</v>
      </c>
      <c r="AB36" s="1" t="s">
        <v>46</v>
      </c>
      <c r="AC36" s="1">
        <v>2E-3</v>
      </c>
      <c r="AD36" s="1">
        <v>2E-3</v>
      </c>
      <c r="AE36" s="1" t="s">
        <v>47</v>
      </c>
      <c r="AF36" s="43">
        <v>1E-3</v>
      </c>
      <c r="AG36" s="1">
        <v>4.0000000000000001E-3</v>
      </c>
      <c r="AH36" s="1">
        <v>2.9999999999999997E-4</v>
      </c>
      <c r="AI36" s="1">
        <v>5.9999999999999995E-4</v>
      </c>
      <c r="AJ36" s="1">
        <v>2.7E-2</v>
      </c>
      <c r="AK36" s="44">
        <v>0.01</v>
      </c>
      <c r="AL36" s="21" t="s">
        <v>90</v>
      </c>
      <c r="AM36" s="74">
        <f t="shared" si="0"/>
        <v>0.66533333333333333</v>
      </c>
      <c r="AN36" s="13">
        <f t="shared" si="1"/>
        <v>0.30556666666666665</v>
      </c>
      <c r="AO36" s="81">
        <f t="shared" si="2"/>
        <v>0.53282696974706256</v>
      </c>
      <c r="AP36" s="85">
        <f t="shared" si="3"/>
        <v>0.38895000000000002</v>
      </c>
      <c r="AQ36" s="21"/>
      <c r="AR36" s="41">
        <v>863</v>
      </c>
      <c r="AS36" s="1">
        <v>1085</v>
      </c>
      <c r="AT36" s="1">
        <v>10</v>
      </c>
      <c r="AU36" s="1">
        <v>18</v>
      </c>
      <c r="AV36" s="1">
        <v>21</v>
      </c>
      <c r="AW36" s="1">
        <v>25</v>
      </c>
      <c r="AX36" s="1">
        <v>38</v>
      </c>
      <c r="AY36" s="1"/>
      <c r="AZ36" s="1">
        <v>60</v>
      </c>
      <c r="BA36" s="1" t="s">
        <v>215</v>
      </c>
      <c r="BB36" s="223" t="s">
        <v>170</v>
      </c>
      <c r="BC36" s="21"/>
      <c r="BG36" s="210">
        <v>10</v>
      </c>
      <c r="BH36">
        <v>16</v>
      </c>
      <c r="BI36">
        <v>25</v>
      </c>
      <c r="BJ36">
        <v>22</v>
      </c>
      <c r="BK36">
        <v>14</v>
      </c>
      <c r="BL36" s="220">
        <f t="shared" ref="BL36:BL39" si="6">(BG36+BH36+BI36+BJ36+BK36)/5</f>
        <v>17.399999999999999</v>
      </c>
      <c r="BM36" s="210">
        <v>15</v>
      </c>
      <c r="BN36">
        <v>20</v>
      </c>
      <c r="BO36">
        <v>26</v>
      </c>
      <c r="BP36">
        <v>27</v>
      </c>
      <c r="BQ36">
        <v>15</v>
      </c>
      <c r="BR36" s="220">
        <f>(BM36+BN36+BO36+BP36+BQ36)/5</f>
        <v>20.6</v>
      </c>
      <c r="BS36" s="210">
        <v>19</v>
      </c>
      <c r="BT36">
        <v>19</v>
      </c>
      <c r="BU36">
        <v>24</v>
      </c>
      <c r="BV36">
        <v>29</v>
      </c>
      <c r="BW36">
        <v>34</v>
      </c>
      <c r="BX36" s="220">
        <f>(BS36+BT36+BU36+BV36+BW36)/5</f>
        <v>25</v>
      </c>
      <c r="BY36" s="210">
        <v>43</v>
      </c>
      <c r="BZ36">
        <v>44</v>
      </c>
      <c r="CA36">
        <v>41</v>
      </c>
      <c r="CB36">
        <v>32</v>
      </c>
      <c r="CC36">
        <v>31</v>
      </c>
      <c r="CD36" s="220">
        <f>(BY36+BZ36+CA36+CB36+CC36)/5</f>
        <v>38.200000000000003</v>
      </c>
      <c r="CE36" s="210"/>
      <c r="CJ36" s="220"/>
      <c r="CK36" s="210">
        <v>62</v>
      </c>
      <c r="CL36">
        <v>62</v>
      </c>
      <c r="CM36">
        <v>53</v>
      </c>
      <c r="CN36">
        <v>66</v>
      </c>
      <c r="CO36">
        <v>58</v>
      </c>
      <c r="CP36" s="220">
        <f>(CK36+CL36+CM36+CN36+CO36)/5</f>
        <v>60.2</v>
      </c>
    </row>
    <row r="37" spans="1:94" ht="15" hidden="1" customHeight="1" x14ac:dyDescent="0.25">
      <c r="A37" s="210"/>
      <c r="B37" s="41">
        <v>5</v>
      </c>
      <c r="C37" s="1" t="s">
        <v>54</v>
      </c>
      <c r="D37" s="25">
        <v>4363</v>
      </c>
      <c r="E37" s="348" t="s">
        <v>42</v>
      </c>
      <c r="F37" s="1" t="s">
        <v>57</v>
      </c>
      <c r="G37" s="1" t="s">
        <v>83</v>
      </c>
      <c r="H37" s="8" t="s">
        <v>43</v>
      </c>
      <c r="I37" s="1">
        <v>3</v>
      </c>
      <c r="J37" s="1">
        <v>14</v>
      </c>
      <c r="K37" s="21"/>
      <c r="L37" s="183">
        <v>0.115</v>
      </c>
      <c r="M37" s="1">
        <v>0.56999999999999995</v>
      </c>
      <c r="N37" s="1">
        <v>1.56</v>
      </c>
      <c r="O37" s="1">
        <v>5.0000000000000001E-3</v>
      </c>
      <c r="P37" s="184">
        <v>4.3E-3</v>
      </c>
      <c r="Q37" s="1">
        <v>0.33</v>
      </c>
      <c r="R37" s="1">
        <v>1.47</v>
      </c>
      <c r="S37" s="1">
        <v>0.56000000000000005</v>
      </c>
      <c r="T37" s="1">
        <v>5.0000000000000001E-3</v>
      </c>
      <c r="U37" s="15">
        <v>0.01</v>
      </c>
      <c r="V37" s="1">
        <v>1.7000000000000001E-2</v>
      </c>
      <c r="W37" s="1">
        <v>8.9999999999999993E-3</v>
      </c>
      <c r="X37" s="1">
        <v>2.4E-2</v>
      </c>
      <c r="Y37" s="1">
        <v>2.1999999999999999E-2</v>
      </c>
      <c r="Z37" s="1">
        <v>3.0000000000000001E-3</v>
      </c>
      <c r="AA37" s="1">
        <v>2.4E-2</v>
      </c>
      <c r="AB37" s="1" t="s">
        <v>46</v>
      </c>
      <c r="AC37" s="1">
        <v>2E-3</v>
      </c>
      <c r="AD37" s="1">
        <v>2E-3</v>
      </c>
      <c r="AE37" s="1" t="s">
        <v>47</v>
      </c>
      <c r="AF37" s="1">
        <v>8.9999999999999998E-4</v>
      </c>
      <c r="AG37" s="1">
        <v>4.0000000000000001E-3</v>
      </c>
      <c r="AH37" s="1">
        <v>2.9999999999999997E-4</v>
      </c>
      <c r="AI37" s="1">
        <v>5.9999999999999995E-4</v>
      </c>
      <c r="AJ37" s="1"/>
      <c r="AK37" s="53"/>
      <c r="AL37" s="21" t="s">
        <v>100</v>
      </c>
      <c r="AM37" s="74">
        <f t="shared" si="0"/>
        <v>0.65599999999999992</v>
      </c>
      <c r="AN37" s="13">
        <f t="shared" si="1"/>
        <v>0.29773333333333335</v>
      </c>
      <c r="AO37" s="81">
        <f t="shared" si="2"/>
        <v>0.5080312408783858</v>
      </c>
      <c r="AP37" s="85">
        <f t="shared" si="3"/>
        <v>0.38145000000000001</v>
      </c>
      <c r="AQ37" s="21"/>
      <c r="AR37" s="41"/>
      <c r="AS37" s="1"/>
      <c r="AT37" s="1"/>
      <c r="AU37" s="1"/>
      <c r="AV37" s="1"/>
      <c r="AW37" s="1"/>
      <c r="AX37" s="1"/>
      <c r="AY37" s="1"/>
      <c r="AZ37" s="1"/>
      <c r="BA37" s="1" t="s">
        <v>214</v>
      </c>
      <c r="BB37" s="223" t="s">
        <v>170</v>
      </c>
      <c r="BC37" s="21"/>
      <c r="BG37" s="210"/>
      <c r="BL37" s="220">
        <f t="shared" si="6"/>
        <v>0</v>
      </c>
      <c r="BM37" s="210"/>
      <c r="BR37" s="220">
        <f t="shared" ref="BR37:BR38" si="7">(BM37+BN37+BO37+BP37+BQ37)/5</f>
        <v>0</v>
      </c>
      <c r="BS37" s="210"/>
      <c r="BX37" s="220">
        <f t="shared" ref="BX37:BX38" si="8">(BS37+BT37+BU37+BV37+BW37)/5</f>
        <v>0</v>
      </c>
      <c r="BY37" s="210"/>
      <c r="CD37" s="220">
        <f t="shared" ref="CD37:CD38" si="9">(BY37+BZ37+CA37+CB37+CC37)/5</f>
        <v>0</v>
      </c>
      <c r="CE37" s="210"/>
      <c r="CJ37" s="220"/>
      <c r="CK37" s="210"/>
      <c r="CP37" s="220">
        <f t="shared" ref="CP37:CP38" si="10">(CK37+CL37+CM37+CN37+CO37)/5</f>
        <v>0</v>
      </c>
    </row>
    <row r="38" spans="1:94" x14ac:dyDescent="0.25">
      <c r="A38" s="210"/>
      <c r="B38" s="41">
        <v>6</v>
      </c>
      <c r="C38" s="1" t="s">
        <v>54</v>
      </c>
      <c r="D38" s="25">
        <v>4364</v>
      </c>
      <c r="E38" s="348" t="s">
        <v>42</v>
      </c>
      <c r="F38" s="1" t="s">
        <v>57</v>
      </c>
      <c r="G38" s="1" t="s">
        <v>83</v>
      </c>
      <c r="H38" s="8" t="s">
        <v>43</v>
      </c>
      <c r="I38" s="1">
        <v>3</v>
      </c>
      <c r="J38" s="1">
        <v>14</v>
      </c>
      <c r="K38" s="21"/>
      <c r="L38" s="15">
        <v>0.11</v>
      </c>
      <c r="M38" s="1">
        <v>0.64</v>
      </c>
      <c r="N38" s="1">
        <v>1.55</v>
      </c>
      <c r="O38" s="1">
        <v>4.0000000000000001E-3</v>
      </c>
      <c r="P38" s="1">
        <v>3.0000000000000001E-3</v>
      </c>
      <c r="Q38" s="1">
        <v>0.36</v>
      </c>
      <c r="R38" s="1">
        <v>1.78</v>
      </c>
      <c r="S38" s="1">
        <v>0.56999999999999995</v>
      </c>
      <c r="T38" s="1">
        <v>6.0000000000000001E-3</v>
      </c>
      <c r="U38" s="1">
        <v>8.9999999999999993E-3</v>
      </c>
      <c r="V38" s="1">
        <v>1.2999999999999999E-2</v>
      </c>
      <c r="W38" s="1">
        <v>7.0000000000000001E-3</v>
      </c>
      <c r="X38" s="1">
        <v>2.7E-2</v>
      </c>
      <c r="Y38" s="1">
        <v>1.6E-2</v>
      </c>
      <c r="Z38" s="1">
        <v>3.0000000000000001E-3</v>
      </c>
      <c r="AA38" s="15">
        <v>0.03</v>
      </c>
      <c r="AB38" s="1" t="s">
        <v>46</v>
      </c>
      <c r="AC38" s="1">
        <v>2E-3</v>
      </c>
      <c r="AD38" s="1">
        <v>2E-3</v>
      </c>
      <c r="AE38" s="1" t="s">
        <v>47</v>
      </c>
      <c r="AF38" s="1">
        <v>8.0000000000000004E-4</v>
      </c>
      <c r="AG38" s="1">
        <v>4.0000000000000001E-3</v>
      </c>
      <c r="AH38" s="1">
        <v>2.0000000000000001E-4</v>
      </c>
      <c r="AI38" s="1">
        <v>5.0000000000000001E-4</v>
      </c>
      <c r="AJ38" s="1">
        <v>2.8000000000000001E-2</v>
      </c>
      <c r="AK38" s="53">
        <v>7.0000000000000001E-3</v>
      </c>
      <c r="AL38" s="21" t="s">
        <v>90</v>
      </c>
      <c r="AM38" s="74">
        <f t="shared" si="0"/>
        <v>0.6774</v>
      </c>
      <c r="AN38" s="13">
        <f t="shared" si="1"/>
        <v>0.30114999999999997</v>
      </c>
      <c r="AO38" s="81">
        <f t="shared" si="2"/>
        <v>0.50643126095418745</v>
      </c>
      <c r="AP38" s="85">
        <f t="shared" si="3"/>
        <v>0.38585000000000003</v>
      </c>
      <c r="AQ38" s="21"/>
      <c r="AR38" s="41">
        <v>801</v>
      </c>
      <c r="AS38" s="1">
        <v>1035</v>
      </c>
      <c r="AT38" s="1">
        <v>16.600000000000001</v>
      </c>
      <c r="AU38" s="1">
        <v>19</v>
      </c>
      <c r="AV38" s="1">
        <v>27</v>
      </c>
      <c r="AW38" s="1">
        <v>35</v>
      </c>
      <c r="AX38" s="1">
        <v>46</v>
      </c>
      <c r="AY38" s="1"/>
      <c r="AZ38" s="1">
        <v>82</v>
      </c>
      <c r="BA38" s="1" t="s">
        <v>214</v>
      </c>
      <c r="BB38" s="223" t="s">
        <v>170</v>
      </c>
      <c r="BC38" s="21"/>
      <c r="BG38" s="210">
        <v>22</v>
      </c>
      <c r="BH38">
        <v>14</v>
      </c>
      <c r="BI38">
        <v>18</v>
      </c>
      <c r="BJ38">
        <v>17</v>
      </c>
      <c r="BK38">
        <v>22</v>
      </c>
      <c r="BL38" s="220">
        <f t="shared" si="6"/>
        <v>18.600000000000001</v>
      </c>
      <c r="BM38" s="210">
        <v>20</v>
      </c>
      <c r="BN38">
        <v>33</v>
      </c>
      <c r="BO38">
        <v>31</v>
      </c>
      <c r="BP38">
        <v>22</v>
      </c>
      <c r="BQ38">
        <v>27</v>
      </c>
      <c r="BR38" s="220">
        <f t="shared" si="7"/>
        <v>26.6</v>
      </c>
      <c r="BS38" s="210">
        <v>31</v>
      </c>
      <c r="BT38">
        <v>41</v>
      </c>
      <c r="BU38">
        <v>30</v>
      </c>
      <c r="BV38">
        <v>30</v>
      </c>
      <c r="BW38">
        <v>44</v>
      </c>
      <c r="BX38" s="220">
        <f t="shared" si="8"/>
        <v>35.200000000000003</v>
      </c>
      <c r="BY38" s="210">
        <v>50</v>
      </c>
      <c r="BZ38">
        <v>50</v>
      </c>
      <c r="CA38">
        <v>43</v>
      </c>
      <c r="CB38">
        <v>47</v>
      </c>
      <c r="CC38">
        <v>39</v>
      </c>
      <c r="CD38" s="220">
        <f t="shared" si="9"/>
        <v>45.8</v>
      </c>
      <c r="CE38" s="210"/>
      <c r="CJ38" s="220"/>
      <c r="CK38" s="210">
        <v>88</v>
      </c>
      <c r="CL38">
        <v>88</v>
      </c>
      <c r="CM38">
        <v>74</v>
      </c>
      <c r="CN38">
        <v>82</v>
      </c>
      <c r="CO38">
        <v>77</v>
      </c>
      <c r="CP38" s="220">
        <f t="shared" si="10"/>
        <v>81.8</v>
      </c>
    </row>
    <row r="39" spans="1:94" ht="25.5" hidden="1" customHeight="1" x14ac:dyDescent="0.25">
      <c r="A39" s="210"/>
      <c r="B39" s="41">
        <v>6</v>
      </c>
      <c r="C39" s="1" t="s">
        <v>54</v>
      </c>
      <c r="D39" s="25">
        <v>4364</v>
      </c>
      <c r="E39" s="348" t="s">
        <v>42</v>
      </c>
      <c r="F39" s="1" t="s">
        <v>57</v>
      </c>
      <c r="G39" s="1" t="s">
        <v>83</v>
      </c>
      <c r="H39" s="8" t="s">
        <v>43</v>
      </c>
      <c r="I39" s="1">
        <v>3</v>
      </c>
      <c r="J39" s="1">
        <v>14</v>
      </c>
      <c r="K39" s="21"/>
      <c r="L39" s="183">
        <v>0.108</v>
      </c>
      <c r="M39" s="12">
        <v>0.6</v>
      </c>
      <c r="N39" s="1">
        <v>1.57</v>
      </c>
      <c r="O39" s="1">
        <v>4.0000000000000001E-3</v>
      </c>
      <c r="P39" s="184">
        <v>4.8999999999999998E-3</v>
      </c>
      <c r="Q39" s="1">
        <v>0.34</v>
      </c>
      <c r="R39" s="1">
        <v>1.67</v>
      </c>
      <c r="S39" s="1">
        <v>0.56000000000000005</v>
      </c>
      <c r="T39" s="1">
        <v>6.0000000000000001E-3</v>
      </c>
      <c r="U39" s="15">
        <v>0.01</v>
      </c>
      <c r="V39" s="1">
        <v>1.4999999999999999E-2</v>
      </c>
      <c r="W39" s="1">
        <v>8.0000000000000002E-3</v>
      </c>
      <c r="X39" s="1">
        <v>2.5999999999999999E-2</v>
      </c>
      <c r="Y39" s="1">
        <v>1.4999999999999999E-2</v>
      </c>
      <c r="Z39" s="1">
        <v>4.0000000000000001E-3</v>
      </c>
      <c r="AA39" s="15">
        <v>0.02</v>
      </c>
      <c r="AB39" s="1" t="s">
        <v>46</v>
      </c>
      <c r="AC39" s="1">
        <v>2E-3</v>
      </c>
      <c r="AD39" s="1">
        <v>2E-3</v>
      </c>
      <c r="AE39" s="1" t="s">
        <v>47</v>
      </c>
      <c r="AF39" s="1">
        <v>8.9999999999999998E-4</v>
      </c>
      <c r="AG39" s="1">
        <v>4.0000000000000001E-3</v>
      </c>
      <c r="AH39" s="1">
        <v>2.0000000000000001E-4</v>
      </c>
      <c r="AI39" s="1">
        <v>5.9999999999999995E-4</v>
      </c>
      <c r="AJ39" s="1"/>
      <c r="AK39" s="53"/>
      <c r="AL39" s="21" t="s">
        <v>100</v>
      </c>
      <c r="AM39" s="74">
        <f t="shared" si="0"/>
        <v>0.66573333333333329</v>
      </c>
      <c r="AN39" s="13">
        <f t="shared" si="1"/>
        <v>0.29596666666666666</v>
      </c>
      <c r="AO39" s="81">
        <f t="shared" si="2"/>
        <v>0.49261165384545658</v>
      </c>
      <c r="AP39" s="85">
        <f t="shared" si="3"/>
        <v>0.38105000000000006</v>
      </c>
      <c r="AQ39" s="21"/>
      <c r="AR39" s="210"/>
      <c r="BB39" s="46"/>
      <c r="BC39" s="21"/>
      <c r="BG39" s="210"/>
      <c r="BL39" s="220">
        <f t="shared" si="6"/>
        <v>0</v>
      </c>
      <c r="BM39" s="210"/>
      <c r="BR39" s="21"/>
      <c r="BS39" s="210"/>
      <c r="BX39" s="21"/>
      <c r="BY39" s="210"/>
      <c r="CD39" s="21"/>
      <c r="CE39" s="210"/>
      <c r="CJ39" s="21"/>
      <c r="CK39" s="210"/>
      <c r="CP39" s="21"/>
    </row>
    <row r="40" spans="1:94" ht="6.75" customHeight="1" x14ac:dyDescent="0.25">
      <c r="A40" s="210"/>
      <c r="B40" s="41"/>
      <c r="D40" s="10"/>
      <c r="E40" s="42"/>
      <c r="H40" s="8"/>
      <c r="K40" s="21"/>
      <c r="L40" s="15"/>
      <c r="M40" s="12"/>
      <c r="N40" s="12"/>
      <c r="O40" s="1"/>
      <c r="P40" s="1"/>
      <c r="Q40" s="1"/>
      <c r="R40" s="45"/>
      <c r="S40" s="1"/>
      <c r="T40" s="1"/>
      <c r="U40" s="1"/>
      <c r="V40" s="1"/>
      <c r="W40" s="1"/>
      <c r="X40" s="1"/>
      <c r="Y40" s="1"/>
      <c r="Z40" s="15"/>
      <c r="AA40" s="15"/>
      <c r="AB40" s="1"/>
      <c r="AC40" s="1"/>
      <c r="AD40" s="1"/>
      <c r="AE40" s="1"/>
      <c r="AF40" s="1"/>
      <c r="AG40" s="43"/>
      <c r="AH40" s="1"/>
      <c r="AI40" s="1"/>
      <c r="AJ40" s="15"/>
      <c r="AK40" s="44"/>
      <c r="AL40" s="21"/>
      <c r="AM40" s="74"/>
      <c r="AN40" s="13"/>
      <c r="AO40" s="81"/>
      <c r="AP40" s="85"/>
      <c r="AQ40" s="21"/>
      <c r="AR40" s="210"/>
      <c r="BB40" s="46"/>
      <c r="BC40" s="21"/>
      <c r="BG40" s="210"/>
      <c r="BL40" s="21"/>
      <c r="BM40" s="210"/>
      <c r="BR40" s="21"/>
      <c r="BS40" s="210"/>
      <c r="BX40" s="21"/>
      <c r="BY40" s="210"/>
      <c r="CD40" s="21"/>
      <c r="CE40" s="210"/>
      <c r="CJ40" s="21"/>
      <c r="CK40" s="210"/>
      <c r="CP40" s="21"/>
    </row>
    <row r="41" spans="1:94" ht="15" hidden="1" customHeight="1" x14ac:dyDescent="0.25">
      <c r="A41" s="210"/>
      <c r="B41" s="41">
        <v>1</v>
      </c>
      <c r="C41" s="1" t="s">
        <v>54</v>
      </c>
      <c r="D41" s="25">
        <v>4706</v>
      </c>
      <c r="E41" s="348" t="s">
        <v>41</v>
      </c>
      <c r="F41" s="1" t="s">
        <v>51</v>
      </c>
      <c r="G41" s="1" t="s">
        <v>83</v>
      </c>
      <c r="H41" s="8" t="s">
        <v>43</v>
      </c>
      <c r="I41" s="1">
        <v>3</v>
      </c>
      <c r="J41" s="1">
        <v>10</v>
      </c>
      <c r="K41" s="21"/>
      <c r="L41" s="185">
        <v>0.124</v>
      </c>
      <c r="M41" s="1">
        <v>0.44</v>
      </c>
      <c r="N41" s="1">
        <v>1.28</v>
      </c>
      <c r="O41" s="1">
        <v>0.01</v>
      </c>
      <c r="P41" s="183">
        <v>7.6E-3</v>
      </c>
      <c r="Q41" s="1">
        <v>0.44</v>
      </c>
      <c r="R41" s="1">
        <v>1.7</v>
      </c>
      <c r="S41" s="1">
        <v>0.49</v>
      </c>
      <c r="T41" s="1">
        <v>2E-3</v>
      </c>
      <c r="U41" s="1">
        <v>0.01</v>
      </c>
      <c r="V41" s="1">
        <v>5.0000000000000001E-3</v>
      </c>
      <c r="W41" s="1">
        <v>2E-3</v>
      </c>
      <c r="X41" s="1">
        <v>1.6E-2</v>
      </c>
      <c r="Y41" s="1">
        <v>1.7999999999999999E-2</v>
      </c>
      <c r="Z41" s="1">
        <v>2E-3</v>
      </c>
      <c r="AA41" s="1">
        <v>8.0000000000000002E-3</v>
      </c>
      <c r="AB41" s="1" t="s">
        <v>46</v>
      </c>
      <c r="AC41" s="1">
        <v>1.9E-3</v>
      </c>
      <c r="AD41" s="1">
        <v>2E-3</v>
      </c>
      <c r="AE41" s="1" t="s">
        <v>47</v>
      </c>
      <c r="AF41" s="1">
        <v>6.9999999999999999E-4</v>
      </c>
      <c r="AG41" s="15">
        <v>1.8E-3</v>
      </c>
      <c r="AH41" s="1">
        <v>2.5999999999999999E-3</v>
      </c>
      <c r="AI41" s="1">
        <v>2E-3</v>
      </c>
      <c r="AJ41" s="1"/>
      <c r="AK41" s="188">
        <v>3.2000000000000002E-3</v>
      </c>
      <c r="AL41" s="385" t="s">
        <v>158</v>
      </c>
      <c r="AM41" s="74">
        <f t="shared" si="0"/>
        <v>0.63873333333333338</v>
      </c>
      <c r="AN41" s="13">
        <f t="shared" si="1"/>
        <v>0.29046666666666665</v>
      </c>
      <c r="AO41" s="81">
        <f t="shared" si="2"/>
        <v>0.51293116934258398</v>
      </c>
      <c r="AP41" s="85">
        <f t="shared" si="3"/>
        <v>0.36630000000000001</v>
      </c>
      <c r="AQ41" s="21"/>
      <c r="AR41" s="221">
        <v>740</v>
      </c>
      <c r="AS41" s="222">
        <v>953</v>
      </c>
      <c r="AT41" s="222">
        <v>9.1</v>
      </c>
      <c r="AU41" s="222">
        <v>37</v>
      </c>
      <c r="AV41" s="222">
        <v>70</v>
      </c>
      <c r="AW41" s="222">
        <v>82</v>
      </c>
      <c r="AX41" s="222">
        <v>62</v>
      </c>
      <c r="AY41" s="222"/>
      <c r="AZ41" s="222">
        <v>65</v>
      </c>
      <c r="BA41" s="222" t="s">
        <v>202</v>
      </c>
      <c r="BB41" s="223" t="s">
        <v>199</v>
      </c>
      <c r="BC41" s="21"/>
      <c r="BG41" s="41">
        <v>35</v>
      </c>
      <c r="BH41" s="1">
        <v>34</v>
      </c>
      <c r="BI41" s="1">
        <v>44</v>
      </c>
      <c r="BJ41" s="1">
        <v>36</v>
      </c>
      <c r="BK41" s="1">
        <v>35</v>
      </c>
      <c r="BL41" s="220">
        <f>(BG41+BH41+BI41+BJ41+BK41)/5</f>
        <v>36.799999999999997</v>
      </c>
      <c r="BM41" s="41">
        <v>60</v>
      </c>
      <c r="BN41" s="1">
        <v>78</v>
      </c>
      <c r="BO41" s="1">
        <v>72</v>
      </c>
      <c r="BP41" s="1">
        <v>78</v>
      </c>
      <c r="BQ41" s="1">
        <v>65</v>
      </c>
      <c r="BR41" s="220">
        <f>(BM41+BN41+BO41+BP41+BQ41)/5</f>
        <v>70.599999999999994</v>
      </c>
      <c r="BS41" s="41">
        <v>65</v>
      </c>
      <c r="BT41" s="1">
        <v>88</v>
      </c>
      <c r="BU41" s="1">
        <v>99</v>
      </c>
      <c r="BV41" s="1">
        <v>75</v>
      </c>
      <c r="BW41" s="1">
        <v>81</v>
      </c>
      <c r="BX41" s="220">
        <f>(BS41+BT41+BU41+BV41+BW41)/5</f>
        <v>81.599999999999994</v>
      </c>
      <c r="BY41" s="41">
        <v>63</v>
      </c>
      <c r="BZ41" s="1">
        <v>62</v>
      </c>
      <c r="CA41" s="1">
        <v>57</v>
      </c>
      <c r="CB41" s="1">
        <v>62</v>
      </c>
      <c r="CC41" s="1">
        <v>68</v>
      </c>
      <c r="CD41" s="220">
        <f>(BY41+BZ41+CA41+CB41+CC41)/5</f>
        <v>62.4</v>
      </c>
      <c r="CE41" s="41"/>
      <c r="CF41" s="1"/>
      <c r="CG41" s="1"/>
      <c r="CH41" s="1"/>
      <c r="CI41" s="1"/>
      <c r="CJ41" s="220"/>
      <c r="CK41" s="41">
        <v>61</v>
      </c>
      <c r="CL41" s="1">
        <v>64</v>
      </c>
      <c r="CM41" s="1">
        <v>60</v>
      </c>
      <c r="CN41" s="1">
        <v>70</v>
      </c>
      <c r="CO41" s="1">
        <v>71</v>
      </c>
      <c r="CP41" s="220">
        <f>(CK41+CL41+CM41+CN41+CO41)/5</f>
        <v>65.2</v>
      </c>
    </row>
    <row r="42" spans="1:94" ht="15" hidden="1" customHeight="1" x14ac:dyDescent="0.25">
      <c r="A42" s="210"/>
      <c r="B42" s="41">
        <v>2</v>
      </c>
      <c r="C42" s="1" t="s">
        <v>54</v>
      </c>
      <c r="D42" s="25">
        <v>4707</v>
      </c>
      <c r="E42" s="348" t="s">
        <v>41</v>
      </c>
      <c r="F42" s="1" t="s">
        <v>51</v>
      </c>
      <c r="G42" s="1" t="s">
        <v>83</v>
      </c>
      <c r="H42" s="8" t="s">
        <v>43</v>
      </c>
      <c r="I42" s="1">
        <v>3</v>
      </c>
      <c r="J42" s="1">
        <v>14</v>
      </c>
      <c r="K42" s="21"/>
      <c r="L42" s="185">
        <v>0.13</v>
      </c>
      <c r="M42" s="1">
        <v>0.44</v>
      </c>
      <c r="N42" s="1">
        <v>1.2</v>
      </c>
      <c r="O42" s="1">
        <v>8.0000000000000002E-3</v>
      </c>
      <c r="P42" s="183">
        <v>1.6500000000000001E-2</v>
      </c>
      <c r="Q42" s="1">
        <v>0.46</v>
      </c>
      <c r="R42" s="1">
        <v>1.62</v>
      </c>
      <c r="S42" s="1">
        <v>0.48</v>
      </c>
      <c r="T42" s="1">
        <v>2E-3</v>
      </c>
      <c r="U42" s="1">
        <v>0.01</v>
      </c>
      <c r="V42" s="1">
        <v>5.0000000000000001E-3</v>
      </c>
      <c r="W42" s="1">
        <v>2E-3</v>
      </c>
      <c r="X42" s="1">
        <v>1.4999999999999999E-2</v>
      </c>
      <c r="Y42" s="1">
        <v>1.7000000000000001E-2</v>
      </c>
      <c r="Z42" s="1" t="s">
        <v>46</v>
      </c>
      <c r="AA42" s="1">
        <v>8.0000000000000002E-3</v>
      </c>
      <c r="AB42" s="1" t="s">
        <v>46</v>
      </c>
      <c r="AC42" s="1">
        <v>1.4E-3</v>
      </c>
      <c r="AD42" s="1" t="s">
        <v>46</v>
      </c>
      <c r="AE42" s="1" t="s">
        <v>47</v>
      </c>
      <c r="AF42" s="1">
        <v>6.9999999999999999E-4</v>
      </c>
      <c r="AG42" s="15">
        <v>3.0000000000000001E-3</v>
      </c>
      <c r="AH42" s="1">
        <v>6.2399999999999997E-2</v>
      </c>
      <c r="AI42" s="1">
        <v>1.2999999999999999E-2</v>
      </c>
      <c r="AJ42" s="1"/>
      <c r="AK42" s="188">
        <v>8.8000000000000005E-3</v>
      </c>
      <c r="AL42" s="385"/>
      <c r="AM42" s="74">
        <f t="shared" si="0"/>
        <v>0.62799999999999989</v>
      </c>
      <c r="AN42" s="13">
        <f t="shared" si="1"/>
        <v>0.29141666666666666</v>
      </c>
      <c r="AO42" s="81">
        <f t="shared" si="2"/>
        <v>0.52146531837286902</v>
      </c>
      <c r="AP42" s="85">
        <f t="shared" si="3"/>
        <v>0.36224999999999996</v>
      </c>
      <c r="AQ42" s="21"/>
      <c r="AR42" s="221">
        <v>675</v>
      </c>
      <c r="AS42" s="222">
        <v>897</v>
      </c>
      <c r="AT42" s="222">
        <v>15.1</v>
      </c>
      <c r="AU42" s="222">
        <v>43</v>
      </c>
      <c r="AV42" s="222">
        <v>64</v>
      </c>
      <c r="AW42" s="222">
        <v>78</v>
      </c>
      <c r="AX42" s="222">
        <v>146</v>
      </c>
      <c r="AY42" s="222"/>
      <c r="AZ42" s="222">
        <v>174</v>
      </c>
      <c r="BA42" s="222" t="s">
        <v>203</v>
      </c>
      <c r="BB42" s="223" t="s">
        <v>200</v>
      </c>
      <c r="BC42" s="21"/>
      <c r="BG42" s="41">
        <v>38</v>
      </c>
      <c r="BH42" s="1">
        <v>28</v>
      </c>
      <c r="BI42" s="1">
        <v>53</v>
      </c>
      <c r="BJ42" s="1">
        <v>51</v>
      </c>
      <c r="BK42" s="1">
        <v>45</v>
      </c>
      <c r="BL42" s="220">
        <f t="shared" ref="BL42:BL46" si="11">(BG42+BH42+BI42+BJ42+BK42)/5</f>
        <v>43</v>
      </c>
      <c r="BM42" s="41">
        <v>67</v>
      </c>
      <c r="BN42" s="1">
        <v>66</v>
      </c>
      <c r="BO42" s="1">
        <v>61</v>
      </c>
      <c r="BP42" s="1">
        <v>63</v>
      </c>
      <c r="BQ42" s="1">
        <v>65</v>
      </c>
      <c r="BR42" s="220">
        <f t="shared" ref="BR42:BR46" si="12">(BM42+BN42+BO42+BP42+BQ42)/5</f>
        <v>64.400000000000006</v>
      </c>
      <c r="BS42" s="41">
        <v>74</v>
      </c>
      <c r="BT42" s="1">
        <v>73</v>
      </c>
      <c r="BU42" s="1">
        <v>73</v>
      </c>
      <c r="BV42" s="1">
        <v>88</v>
      </c>
      <c r="BW42" s="1">
        <v>81</v>
      </c>
      <c r="BX42" s="220">
        <f t="shared" ref="BX42:BX46" si="13">(BS42+BT42+BU42+BV42+BW42)/5</f>
        <v>77.8</v>
      </c>
      <c r="BY42" s="41">
        <v>154</v>
      </c>
      <c r="BZ42" s="1">
        <v>153</v>
      </c>
      <c r="CA42" s="1">
        <v>163</v>
      </c>
      <c r="CB42" s="1">
        <v>146</v>
      </c>
      <c r="CC42" s="1">
        <v>111</v>
      </c>
      <c r="CD42" s="220">
        <f t="shared" ref="CD42:CD46" si="14">(BY42+BZ42+CA42+CB42+CC42)/5</f>
        <v>145.4</v>
      </c>
      <c r="CE42" s="41"/>
      <c r="CF42" s="1"/>
      <c r="CG42" s="1"/>
      <c r="CH42" s="1"/>
      <c r="CI42" s="1"/>
      <c r="CJ42" s="220"/>
      <c r="CK42" s="41">
        <v>168</v>
      </c>
      <c r="CL42" s="1">
        <v>171</v>
      </c>
      <c r="CM42" s="1">
        <v>177</v>
      </c>
      <c r="CN42" s="1">
        <v>176</v>
      </c>
      <c r="CO42" s="1">
        <v>177</v>
      </c>
      <c r="CP42" s="220">
        <f t="shared" ref="CP42:CP46" si="15">(CK42+CL42+CM42+CN42+CO42)/5</f>
        <v>173.8</v>
      </c>
    </row>
    <row r="43" spans="1:94" ht="15" hidden="1" customHeight="1" x14ac:dyDescent="0.25">
      <c r="A43" s="210"/>
      <c r="B43" s="41">
        <v>3</v>
      </c>
      <c r="C43" s="1" t="s">
        <v>54</v>
      </c>
      <c r="D43" s="25">
        <v>4708</v>
      </c>
      <c r="E43" s="348" t="s">
        <v>41</v>
      </c>
      <c r="F43" s="1" t="s">
        <v>52</v>
      </c>
      <c r="G43" s="1" t="s">
        <v>83</v>
      </c>
      <c r="H43" s="8" t="s">
        <v>43</v>
      </c>
      <c r="I43" s="1">
        <v>3</v>
      </c>
      <c r="J43" s="1">
        <v>10</v>
      </c>
      <c r="K43" s="21"/>
      <c r="L43" s="185">
        <v>0.10100000000000001</v>
      </c>
      <c r="M43" s="1">
        <v>0.52</v>
      </c>
      <c r="N43" s="1">
        <v>1.53</v>
      </c>
      <c r="O43" s="1">
        <v>1.0999999999999999E-2</v>
      </c>
      <c r="P43" s="183">
        <v>6.4000000000000003E-3</v>
      </c>
      <c r="Q43" s="1">
        <v>0.3</v>
      </c>
      <c r="R43" s="1">
        <v>1.34</v>
      </c>
      <c r="S43" s="1">
        <v>0.35</v>
      </c>
      <c r="T43" s="1">
        <v>4.0000000000000001E-3</v>
      </c>
      <c r="U43" s="1">
        <v>8.0000000000000002E-3</v>
      </c>
      <c r="V43" s="1">
        <v>5.0000000000000001E-3</v>
      </c>
      <c r="W43" s="1">
        <v>2E-3</v>
      </c>
      <c r="X43" s="1">
        <v>2.3E-2</v>
      </c>
      <c r="Y43" s="1">
        <v>1.4E-2</v>
      </c>
      <c r="Z43" s="1">
        <v>2E-3</v>
      </c>
      <c r="AA43" s="1">
        <v>3.3999999999999998E-3</v>
      </c>
      <c r="AB43" s="1" t="s">
        <v>46</v>
      </c>
      <c r="AC43" s="1">
        <v>1.6999999999999999E-3</v>
      </c>
      <c r="AD43" s="1">
        <v>2E-3</v>
      </c>
      <c r="AE43" s="1" t="s">
        <v>47</v>
      </c>
      <c r="AF43" s="1">
        <v>1E-3</v>
      </c>
      <c r="AG43" s="15">
        <v>1.4E-3</v>
      </c>
      <c r="AH43" s="1">
        <v>2.9999999999999997E-4</v>
      </c>
      <c r="AI43" s="1">
        <v>4.0000000000000002E-4</v>
      </c>
      <c r="AJ43" s="1"/>
      <c r="AK43" s="188">
        <v>3.5999999999999999E-3</v>
      </c>
      <c r="AL43" s="385"/>
      <c r="AM43" s="74">
        <f t="shared" si="0"/>
        <v>0.57786666666666653</v>
      </c>
      <c r="AN43" s="13">
        <f t="shared" si="1"/>
        <v>0.26215000000000005</v>
      </c>
      <c r="AO43" s="81">
        <f t="shared" si="2"/>
        <v>0.41523340523807528</v>
      </c>
      <c r="AP43" s="85">
        <f t="shared" si="3"/>
        <v>0.33865000000000001</v>
      </c>
      <c r="AQ43" s="21"/>
      <c r="AR43" s="221">
        <v>712</v>
      </c>
      <c r="AS43" s="222">
        <v>884</v>
      </c>
      <c r="AT43" s="222">
        <v>17.399999999999999</v>
      </c>
      <c r="AU43" s="222">
        <v>30</v>
      </c>
      <c r="AV43" s="222">
        <v>52</v>
      </c>
      <c r="AW43" s="222">
        <v>70</v>
      </c>
      <c r="AX43" s="222">
        <v>87</v>
      </c>
      <c r="AY43" s="222"/>
      <c r="AZ43" s="222">
        <v>119</v>
      </c>
      <c r="BA43" s="222" t="s">
        <v>204</v>
      </c>
      <c r="BB43" s="223" t="s">
        <v>201</v>
      </c>
      <c r="BC43" s="21"/>
      <c r="BG43" s="41">
        <v>24</v>
      </c>
      <c r="BH43" s="1">
        <v>29</v>
      </c>
      <c r="BI43" s="1">
        <v>21</v>
      </c>
      <c r="BJ43" s="1">
        <v>41</v>
      </c>
      <c r="BK43" s="1">
        <v>37</v>
      </c>
      <c r="BL43" s="220">
        <f t="shared" si="11"/>
        <v>30.4</v>
      </c>
      <c r="BM43" s="41">
        <v>60</v>
      </c>
      <c r="BN43" s="1">
        <v>41</v>
      </c>
      <c r="BO43" s="1">
        <v>50</v>
      </c>
      <c r="BP43" s="1">
        <v>51</v>
      </c>
      <c r="BQ43" s="1">
        <v>57</v>
      </c>
      <c r="BR43" s="220">
        <f t="shared" si="12"/>
        <v>51.8</v>
      </c>
      <c r="BS43" s="41">
        <v>69</v>
      </c>
      <c r="BT43" s="1">
        <v>66</v>
      </c>
      <c r="BU43" s="1">
        <v>70</v>
      </c>
      <c r="BV43" s="1">
        <v>70</v>
      </c>
      <c r="BW43" s="1">
        <v>79</v>
      </c>
      <c r="BX43" s="220">
        <f t="shared" si="13"/>
        <v>70.8</v>
      </c>
      <c r="BY43" s="41">
        <v>83</v>
      </c>
      <c r="BZ43" s="1">
        <v>87</v>
      </c>
      <c r="CA43" s="1">
        <v>100</v>
      </c>
      <c r="CB43" s="1">
        <v>80</v>
      </c>
      <c r="CC43" s="1">
        <v>86</v>
      </c>
      <c r="CD43" s="220">
        <f t="shared" si="14"/>
        <v>87.2</v>
      </c>
      <c r="CE43" s="41"/>
      <c r="CF43" s="1"/>
      <c r="CG43" s="1"/>
      <c r="CH43" s="1"/>
      <c r="CI43" s="1"/>
      <c r="CJ43" s="220"/>
      <c r="CK43" s="41">
        <v>124</v>
      </c>
      <c r="CL43" s="1">
        <v>128</v>
      </c>
      <c r="CM43" s="1">
        <v>116</v>
      </c>
      <c r="CN43" s="1">
        <v>114</v>
      </c>
      <c r="CO43" s="1">
        <v>114</v>
      </c>
      <c r="CP43" s="220">
        <f t="shared" si="15"/>
        <v>119.2</v>
      </c>
    </row>
    <row r="44" spans="1:94" ht="15" hidden="1" customHeight="1" x14ac:dyDescent="0.25">
      <c r="A44" s="210"/>
      <c r="B44" s="41">
        <v>4</v>
      </c>
      <c r="C44" s="1" t="s">
        <v>54</v>
      </c>
      <c r="D44" s="25">
        <v>4709</v>
      </c>
      <c r="E44" s="348" t="s">
        <v>41</v>
      </c>
      <c r="F44" s="1" t="s">
        <v>52</v>
      </c>
      <c r="G44" s="1" t="s">
        <v>83</v>
      </c>
      <c r="H44" s="8" t="s">
        <v>43</v>
      </c>
      <c r="I44" s="1">
        <v>3</v>
      </c>
      <c r="J44" s="1">
        <v>14</v>
      </c>
      <c r="K44" s="21"/>
      <c r="L44" s="185">
        <v>0.104</v>
      </c>
      <c r="M44" s="1">
        <v>0.49</v>
      </c>
      <c r="N44" s="1">
        <v>1.48</v>
      </c>
      <c r="O44" s="1">
        <v>0.01</v>
      </c>
      <c r="P44" s="183">
        <v>6.1999999999999998E-3</v>
      </c>
      <c r="Q44" s="1">
        <v>0.3</v>
      </c>
      <c r="R44" s="1">
        <v>1.26</v>
      </c>
      <c r="S44" s="1">
        <v>0.34</v>
      </c>
      <c r="T44" s="1">
        <v>4.0000000000000001E-3</v>
      </c>
      <c r="U44" s="1">
        <v>8.0000000000000002E-3</v>
      </c>
      <c r="V44" s="1">
        <v>5.0000000000000001E-3</v>
      </c>
      <c r="W44" s="1">
        <v>2E-3</v>
      </c>
      <c r="X44" s="1">
        <v>2.1999999999999999E-2</v>
      </c>
      <c r="Y44" s="1">
        <v>1.4E-2</v>
      </c>
      <c r="Z44" s="1">
        <v>2E-3</v>
      </c>
      <c r="AA44" s="1">
        <v>3.3999999999999998E-3</v>
      </c>
      <c r="AB44" s="1" t="s">
        <v>46</v>
      </c>
      <c r="AC44" s="1">
        <v>1.6000000000000001E-3</v>
      </c>
      <c r="AD44" s="1">
        <v>2E-3</v>
      </c>
      <c r="AE44" s="1" t="s">
        <v>47</v>
      </c>
      <c r="AF44" s="1">
        <v>1.1000000000000001E-3</v>
      </c>
      <c r="AG44" s="15">
        <v>1.8E-3</v>
      </c>
      <c r="AH44" s="1">
        <v>5.0000000000000001E-4</v>
      </c>
      <c r="AI44" s="1">
        <v>5.0000000000000001E-4</v>
      </c>
      <c r="AJ44" s="1"/>
      <c r="AK44" s="188">
        <v>3.0000000000000001E-3</v>
      </c>
      <c r="AL44" s="385"/>
      <c r="AM44" s="74">
        <f t="shared" si="0"/>
        <v>0.56513333333333338</v>
      </c>
      <c r="AN44" s="13">
        <f t="shared" si="1"/>
        <v>0.26009999999999994</v>
      </c>
      <c r="AO44" s="81">
        <f t="shared" si="2"/>
        <v>0.41404569616675857</v>
      </c>
      <c r="AP44" s="85">
        <f t="shared" si="3"/>
        <v>0.33360000000000001</v>
      </c>
      <c r="AQ44" s="21"/>
      <c r="AR44" s="221">
        <v>664</v>
      </c>
      <c r="AS44" s="222">
        <v>849</v>
      </c>
      <c r="AT44" s="222">
        <v>10.6</v>
      </c>
      <c r="AU44" s="222">
        <v>27</v>
      </c>
      <c r="AV44" s="222">
        <v>38</v>
      </c>
      <c r="AW44" s="222">
        <v>60</v>
      </c>
      <c r="AX44" s="222">
        <v>109</v>
      </c>
      <c r="AY44" s="222"/>
      <c r="AZ44" s="222">
        <v>125</v>
      </c>
      <c r="BA44" s="222" t="s">
        <v>205</v>
      </c>
      <c r="BB44" s="223" t="s">
        <v>170</v>
      </c>
      <c r="BC44" s="21"/>
      <c r="BG44" s="41">
        <v>24</v>
      </c>
      <c r="BH44" s="1">
        <v>34</v>
      </c>
      <c r="BI44" s="1">
        <v>24</v>
      </c>
      <c r="BJ44" s="1">
        <v>28</v>
      </c>
      <c r="BK44" s="1">
        <v>24</v>
      </c>
      <c r="BL44" s="220">
        <f t="shared" si="11"/>
        <v>26.8</v>
      </c>
      <c r="BM44" s="41">
        <v>43</v>
      </c>
      <c r="BN44" s="1">
        <v>38</v>
      </c>
      <c r="BO44" s="1">
        <v>44</v>
      </c>
      <c r="BP44" s="1">
        <v>31</v>
      </c>
      <c r="BQ44" s="1">
        <v>34</v>
      </c>
      <c r="BR44" s="220">
        <f t="shared" si="12"/>
        <v>38</v>
      </c>
      <c r="BS44" s="41">
        <v>63</v>
      </c>
      <c r="BT44" s="1">
        <v>54</v>
      </c>
      <c r="BU44" s="1">
        <v>64</v>
      </c>
      <c r="BV44" s="1">
        <v>64</v>
      </c>
      <c r="BW44" s="1">
        <v>54</v>
      </c>
      <c r="BX44" s="220">
        <f t="shared" si="13"/>
        <v>59.8</v>
      </c>
      <c r="BY44" s="41">
        <v>104</v>
      </c>
      <c r="BZ44" s="1">
        <v>109</v>
      </c>
      <c r="CA44" s="1">
        <v>103</v>
      </c>
      <c r="CB44" s="1">
        <v>107</v>
      </c>
      <c r="CC44" s="1">
        <v>122</v>
      </c>
      <c r="CD44" s="220">
        <f t="shared" si="14"/>
        <v>109</v>
      </c>
      <c r="CE44" s="41"/>
      <c r="CF44" s="1"/>
      <c r="CG44" s="1"/>
      <c r="CH44" s="1"/>
      <c r="CI44" s="1"/>
      <c r="CJ44" s="220"/>
      <c r="CK44" s="41">
        <v>115</v>
      </c>
      <c r="CL44" s="1">
        <v>122</v>
      </c>
      <c r="CM44" s="1">
        <v>119</v>
      </c>
      <c r="CN44" s="1">
        <v>147</v>
      </c>
      <c r="CO44" s="1">
        <v>122</v>
      </c>
      <c r="CP44" s="220">
        <f t="shared" si="15"/>
        <v>125</v>
      </c>
    </row>
    <row r="45" spans="1:94" ht="15" hidden="1" customHeight="1" x14ac:dyDescent="0.25">
      <c r="A45" s="210"/>
      <c r="B45" s="41">
        <v>7</v>
      </c>
      <c r="C45" s="1" t="s">
        <v>54</v>
      </c>
      <c r="D45" s="25">
        <v>4710</v>
      </c>
      <c r="E45" s="348" t="s">
        <v>42</v>
      </c>
      <c r="F45" s="1" t="s">
        <v>53</v>
      </c>
      <c r="G45" s="1" t="s">
        <v>83</v>
      </c>
      <c r="H45" s="8" t="s">
        <v>43</v>
      </c>
      <c r="I45" s="1">
        <v>3</v>
      </c>
      <c r="J45" s="1">
        <v>10</v>
      </c>
      <c r="K45" s="21"/>
      <c r="L45" s="185">
        <v>0.122</v>
      </c>
      <c r="M45" s="1">
        <v>0.44</v>
      </c>
      <c r="N45" s="1">
        <v>1.28</v>
      </c>
      <c r="O45" s="1">
        <v>8.0000000000000002E-3</v>
      </c>
      <c r="P45" s="183">
        <v>5.7000000000000002E-3</v>
      </c>
      <c r="Q45" s="1">
        <v>0.45</v>
      </c>
      <c r="R45" s="1">
        <v>1.79</v>
      </c>
      <c r="S45" s="1">
        <v>0.67</v>
      </c>
      <c r="T45" s="1">
        <v>3.0000000000000001E-3</v>
      </c>
      <c r="U45" s="1">
        <v>0.01</v>
      </c>
      <c r="V45" s="1">
        <v>1.4E-2</v>
      </c>
      <c r="W45" s="1">
        <v>7.0000000000000001E-3</v>
      </c>
      <c r="X45" s="1">
        <v>0.02</v>
      </c>
      <c r="Y45" s="1">
        <v>2.1000000000000001E-2</v>
      </c>
      <c r="Z45" s="1">
        <v>2E-3</v>
      </c>
      <c r="AA45" s="1">
        <v>1.4E-2</v>
      </c>
      <c r="AB45" s="1" t="s">
        <v>46</v>
      </c>
      <c r="AC45" s="1">
        <v>2E-3</v>
      </c>
      <c r="AD45" s="1">
        <v>2E-3</v>
      </c>
      <c r="AE45" s="1" t="s">
        <v>47</v>
      </c>
      <c r="AF45" s="1">
        <v>5.0000000000000001E-4</v>
      </c>
      <c r="AG45" s="15">
        <v>2E-3</v>
      </c>
      <c r="AH45" s="1">
        <v>8.9999999999999998E-4</v>
      </c>
      <c r="AI45" s="1">
        <v>1.6999999999999999E-3</v>
      </c>
      <c r="AJ45" s="1"/>
      <c r="AK45" s="188">
        <v>4.4000000000000003E-3</v>
      </c>
      <c r="AL45" s="385"/>
      <c r="AM45" s="74">
        <f t="shared" si="0"/>
        <v>0.68280000000000007</v>
      </c>
      <c r="AN45" s="13">
        <f t="shared" si="1"/>
        <v>0.30256666666666671</v>
      </c>
      <c r="AO45" s="81">
        <f t="shared" si="2"/>
        <v>0.54052906481183938</v>
      </c>
      <c r="AP45" s="85">
        <f t="shared" si="3"/>
        <v>0.38525000000000004</v>
      </c>
      <c r="AQ45" s="21"/>
      <c r="AR45" s="459" t="s">
        <v>193</v>
      </c>
      <c r="AS45" s="460"/>
      <c r="AT45" s="460"/>
      <c r="AU45" s="222">
        <v>24</v>
      </c>
      <c r="AV45" s="222">
        <v>44</v>
      </c>
      <c r="AW45" s="222">
        <v>39</v>
      </c>
      <c r="AX45" s="222">
        <v>56</v>
      </c>
      <c r="AY45" s="222"/>
      <c r="AZ45" s="222">
        <v>66</v>
      </c>
      <c r="BA45" s="222" t="s">
        <v>206</v>
      </c>
      <c r="BB45" s="223" t="s">
        <v>201</v>
      </c>
      <c r="BC45" s="21"/>
      <c r="BG45" s="41">
        <v>22</v>
      </c>
      <c r="BH45" s="1">
        <v>27</v>
      </c>
      <c r="BI45" s="1">
        <v>33</v>
      </c>
      <c r="BJ45" s="1">
        <v>19</v>
      </c>
      <c r="BK45" s="1">
        <v>21</v>
      </c>
      <c r="BL45" s="220">
        <f t="shared" si="11"/>
        <v>24.4</v>
      </c>
      <c r="BM45" s="41">
        <v>53</v>
      </c>
      <c r="BN45" s="1">
        <v>28</v>
      </c>
      <c r="BO45" s="1">
        <v>68</v>
      </c>
      <c r="BP45" s="1">
        <v>37</v>
      </c>
      <c r="BQ45" s="1">
        <v>33</v>
      </c>
      <c r="BR45" s="220">
        <f t="shared" si="12"/>
        <v>43.8</v>
      </c>
      <c r="BS45" s="41">
        <v>43</v>
      </c>
      <c r="BT45" s="1">
        <v>37</v>
      </c>
      <c r="BU45" s="1">
        <v>43</v>
      </c>
      <c r="BV45" s="1">
        <v>36</v>
      </c>
      <c r="BW45" s="1">
        <v>36</v>
      </c>
      <c r="BX45" s="220">
        <f t="shared" si="13"/>
        <v>39</v>
      </c>
      <c r="BY45" s="41">
        <v>52</v>
      </c>
      <c r="BZ45" s="1">
        <v>58</v>
      </c>
      <c r="CA45" s="1">
        <v>54</v>
      </c>
      <c r="CB45" s="1">
        <v>56</v>
      </c>
      <c r="CC45" s="1">
        <v>58</v>
      </c>
      <c r="CD45" s="220">
        <f t="shared" si="14"/>
        <v>55.6</v>
      </c>
      <c r="CE45" s="41"/>
      <c r="CF45" s="1"/>
      <c r="CG45" s="1"/>
      <c r="CH45" s="1"/>
      <c r="CI45" s="1"/>
      <c r="CJ45" s="220"/>
      <c r="CK45" s="41">
        <v>67</v>
      </c>
      <c r="CL45" s="1">
        <v>64</v>
      </c>
      <c r="CM45" s="1">
        <v>75</v>
      </c>
      <c r="CN45" s="1">
        <v>64</v>
      </c>
      <c r="CO45" s="1">
        <v>60</v>
      </c>
      <c r="CP45" s="220">
        <f t="shared" si="15"/>
        <v>66</v>
      </c>
    </row>
    <row r="46" spans="1:94" ht="15" hidden="1" customHeight="1" x14ac:dyDescent="0.25">
      <c r="A46" s="210"/>
      <c r="B46" s="41">
        <v>8</v>
      </c>
      <c r="C46" s="1" t="s">
        <v>54</v>
      </c>
      <c r="D46" s="25">
        <v>4711</v>
      </c>
      <c r="E46" s="348" t="s">
        <v>42</v>
      </c>
      <c r="F46" s="1" t="s">
        <v>53</v>
      </c>
      <c r="G46" s="1" t="s">
        <v>83</v>
      </c>
      <c r="H46" s="8" t="s">
        <v>43</v>
      </c>
      <c r="I46" s="1">
        <v>3</v>
      </c>
      <c r="J46" s="1">
        <v>14</v>
      </c>
      <c r="K46" s="21"/>
      <c r="L46" s="185">
        <v>0.13400000000000001</v>
      </c>
      <c r="M46" s="1">
        <v>0.44</v>
      </c>
      <c r="N46" s="1">
        <v>1.25</v>
      </c>
      <c r="O46" s="1">
        <v>8.0000000000000002E-3</v>
      </c>
      <c r="P46" s="183">
        <v>5.5999999999999999E-3</v>
      </c>
      <c r="Q46" s="1">
        <v>0.38</v>
      </c>
      <c r="R46" s="1">
        <v>1.62</v>
      </c>
      <c r="S46" s="1">
        <v>0.66</v>
      </c>
      <c r="T46" s="1">
        <v>4.0000000000000001E-3</v>
      </c>
      <c r="U46" s="1">
        <v>1.0999999999999999E-2</v>
      </c>
      <c r="V46" s="1">
        <v>1.6E-2</v>
      </c>
      <c r="W46" s="1">
        <v>8.0000000000000002E-3</v>
      </c>
      <c r="X46" s="1">
        <v>1.9E-2</v>
      </c>
      <c r="Y46" s="1">
        <v>2.7E-2</v>
      </c>
      <c r="Z46" s="1">
        <v>1E-3</v>
      </c>
      <c r="AA46" s="1">
        <v>1.2999999999999999E-2</v>
      </c>
      <c r="AB46" s="1" t="s">
        <v>46</v>
      </c>
      <c r="AC46" s="1">
        <v>1.9E-3</v>
      </c>
      <c r="AD46" s="1">
        <v>1E-3</v>
      </c>
      <c r="AE46" s="1" t="s">
        <v>47</v>
      </c>
      <c r="AF46" s="1">
        <v>5.9999999999999995E-4</v>
      </c>
      <c r="AG46" s="15">
        <v>3.0000000000000001E-3</v>
      </c>
      <c r="AH46" s="1">
        <v>2.93E-2</v>
      </c>
      <c r="AI46" s="1">
        <v>8.0000000000000002E-3</v>
      </c>
      <c r="AJ46" s="1"/>
      <c r="AK46" s="188">
        <v>3.8999999999999998E-3</v>
      </c>
      <c r="AL46" s="385"/>
      <c r="AM46" s="74">
        <f t="shared" si="0"/>
        <v>0.66280000000000006</v>
      </c>
      <c r="AN46" s="13">
        <f t="shared" si="1"/>
        <v>0.30671666666666664</v>
      </c>
      <c r="AO46" s="81">
        <f t="shared" si="2"/>
        <v>0.56089591934145133</v>
      </c>
      <c r="AP46" s="85">
        <f t="shared" si="3"/>
        <v>0.38545000000000001</v>
      </c>
      <c r="AQ46" s="21"/>
      <c r="AR46" s="221">
        <v>835</v>
      </c>
      <c r="AS46" s="222">
        <v>965</v>
      </c>
      <c r="AT46" s="222">
        <v>3.4</v>
      </c>
      <c r="AU46" s="222"/>
      <c r="AV46" s="222">
        <v>26</v>
      </c>
      <c r="AW46" s="222">
        <v>30</v>
      </c>
      <c r="AX46" s="222">
        <v>54</v>
      </c>
      <c r="AY46" s="222"/>
      <c r="AZ46" s="222">
        <v>73</v>
      </c>
      <c r="BA46" s="222" t="s">
        <v>207</v>
      </c>
      <c r="BB46" s="223" t="s">
        <v>201</v>
      </c>
      <c r="BC46" s="21"/>
      <c r="BG46" s="41"/>
      <c r="BH46" s="1"/>
      <c r="BI46" s="1"/>
      <c r="BJ46" s="1"/>
      <c r="BK46" s="1"/>
      <c r="BL46" s="220">
        <f t="shared" si="11"/>
        <v>0</v>
      </c>
      <c r="BM46" s="41">
        <v>21</v>
      </c>
      <c r="BN46" s="1">
        <v>26</v>
      </c>
      <c r="BO46" s="1">
        <v>34</v>
      </c>
      <c r="BP46" s="1">
        <v>27</v>
      </c>
      <c r="BQ46" s="1">
        <v>27</v>
      </c>
      <c r="BR46" s="220">
        <f t="shared" si="12"/>
        <v>27</v>
      </c>
      <c r="BS46" s="41">
        <v>30</v>
      </c>
      <c r="BT46" s="1">
        <v>39</v>
      </c>
      <c r="BU46" s="1">
        <v>41</v>
      </c>
      <c r="BV46" s="1">
        <v>22</v>
      </c>
      <c r="BW46" s="1">
        <v>20</v>
      </c>
      <c r="BX46" s="220">
        <f t="shared" si="13"/>
        <v>30.4</v>
      </c>
      <c r="BY46" s="41">
        <v>52</v>
      </c>
      <c r="BZ46" s="1">
        <v>44</v>
      </c>
      <c r="CA46" s="1">
        <v>47</v>
      </c>
      <c r="CB46" s="1">
        <v>65</v>
      </c>
      <c r="CC46" s="1">
        <v>61</v>
      </c>
      <c r="CD46" s="220">
        <f t="shared" si="14"/>
        <v>53.8</v>
      </c>
      <c r="CE46" s="41"/>
      <c r="CF46" s="1"/>
      <c r="CG46" s="1"/>
      <c r="CH46" s="1"/>
      <c r="CI46" s="1"/>
      <c r="CJ46" s="220"/>
      <c r="CK46" s="41">
        <v>70</v>
      </c>
      <c r="CL46" s="1">
        <v>80</v>
      </c>
      <c r="CM46" s="1">
        <v>61</v>
      </c>
      <c r="CN46" s="1">
        <v>75</v>
      </c>
      <c r="CO46" s="1">
        <v>78</v>
      </c>
      <c r="CP46" s="220">
        <f t="shared" si="15"/>
        <v>72.8</v>
      </c>
    </row>
    <row r="47" spans="1:94" ht="6.75" hidden="1" customHeight="1" x14ac:dyDescent="0.25">
      <c r="A47" s="210"/>
      <c r="B47" s="41"/>
      <c r="D47" s="10"/>
      <c r="E47" s="42"/>
      <c r="H47" s="8"/>
      <c r="K47" s="21"/>
      <c r="L47" s="15"/>
      <c r="M47" s="12"/>
      <c r="N47" s="12"/>
      <c r="O47" s="1"/>
      <c r="P47" s="1"/>
      <c r="Q47" s="1"/>
      <c r="R47" s="45"/>
      <c r="S47" s="1"/>
      <c r="T47" s="1"/>
      <c r="U47" s="1"/>
      <c r="V47" s="1"/>
      <c r="W47" s="1"/>
      <c r="X47" s="1"/>
      <c r="Y47" s="1"/>
      <c r="Z47" s="15"/>
      <c r="AA47" s="15"/>
      <c r="AB47" s="1"/>
      <c r="AC47" s="1"/>
      <c r="AD47" s="1"/>
      <c r="AE47" s="1"/>
      <c r="AF47" s="1"/>
      <c r="AG47" s="43"/>
      <c r="AH47" s="1"/>
      <c r="AI47" s="1"/>
      <c r="AJ47" s="15"/>
      <c r="AK47" s="44"/>
      <c r="AL47" s="21"/>
      <c r="AM47" s="74"/>
      <c r="AN47" s="13"/>
      <c r="AO47" s="81"/>
      <c r="AP47" s="85"/>
      <c r="AQ47" s="21"/>
      <c r="AR47" s="221"/>
      <c r="AS47" s="222"/>
      <c r="AT47" s="222"/>
      <c r="AU47" s="222"/>
      <c r="AV47" s="222"/>
      <c r="AW47" s="222"/>
      <c r="AX47" s="222"/>
      <c r="AY47" s="222"/>
      <c r="AZ47" s="222"/>
      <c r="BA47" s="222"/>
      <c r="BB47" s="223"/>
      <c r="BC47" s="21"/>
      <c r="BG47" s="210"/>
      <c r="BL47" s="21"/>
      <c r="BM47" s="210"/>
      <c r="BR47" s="21"/>
      <c r="BS47" s="210"/>
      <c r="BX47" s="21"/>
      <c r="BY47" s="210"/>
      <c r="CD47" s="21"/>
      <c r="CE47" s="210"/>
      <c r="CJ47" s="21"/>
      <c r="CK47" s="210"/>
      <c r="CP47" s="21"/>
    </row>
    <row r="48" spans="1:94" x14ac:dyDescent="0.25">
      <c r="A48" s="210"/>
      <c r="B48" s="41">
        <v>1</v>
      </c>
      <c r="C48" s="1" t="s">
        <v>54</v>
      </c>
      <c r="D48" s="25">
        <v>4706</v>
      </c>
      <c r="E48" s="348" t="s">
        <v>41</v>
      </c>
      <c r="F48" s="1" t="s">
        <v>51</v>
      </c>
      <c r="G48" s="1" t="s">
        <v>83</v>
      </c>
      <c r="H48" s="8" t="s">
        <v>43</v>
      </c>
      <c r="I48" s="1">
        <v>3</v>
      </c>
      <c r="J48" s="1">
        <v>10</v>
      </c>
      <c r="K48" s="21"/>
      <c r="L48" s="1">
        <v>0.12</v>
      </c>
      <c r="M48" s="1">
        <v>0.42</v>
      </c>
      <c r="N48" s="1">
        <v>1.23</v>
      </c>
      <c r="O48" s="1">
        <v>0.01</v>
      </c>
      <c r="P48" s="15">
        <v>7.0000000000000001E-3</v>
      </c>
      <c r="Q48" s="1">
        <v>0.44</v>
      </c>
      <c r="R48" s="1">
        <v>1.66</v>
      </c>
      <c r="S48" s="1">
        <v>0.49</v>
      </c>
      <c r="T48" s="1">
        <v>2E-3</v>
      </c>
      <c r="U48" s="1">
        <v>0.01</v>
      </c>
      <c r="V48" s="1">
        <v>5.0000000000000001E-3</v>
      </c>
      <c r="W48" s="1">
        <v>3.0000000000000001E-3</v>
      </c>
      <c r="X48" s="1">
        <v>1.6E-2</v>
      </c>
      <c r="Y48" s="1">
        <v>1.6E-2</v>
      </c>
      <c r="Z48" s="1">
        <v>2E-3</v>
      </c>
      <c r="AA48" s="1">
        <v>8.0000000000000002E-3</v>
      </c>
      <c r="AB48" s="1" t="s">
        <v>46</v>
      </c>
      <c r="AC48" s="1">
        <v>1.9E-3</v>
      </c>
      <c r="AD48" s="1">
        <v>2E-3</v>
      </c>
      <c r="AE48" s="1" t="s">
        <v>47</v>
      </c>
      <c r="AF48" s="1">
        <v>6.9999999999999999E-4</v>
      </c>
      <c r="AG48" s="1">
        <v>3.0000000000000001E-3</v>
      </c>
      <c r="AH48" s="1">
        <v>5.9999999999999995E-4</v>
      </c>
      <c r="AI48" s="1">
        <v>1.9E-3</v>
      </c>
      <c r="AJ48" s="1">
        <v>2.5999999999999999E-2</v>
      </c>
      <c r="AK48" s="53">
        <v>5.0000000000000001E-3</v>
      </c>
      <c r="AL48" s="385" t="s">
        <v>159</v>
      </c>
      <c r="AM48" s="74">
        <f t="shared" si="0"/>
        <v>0.62373333333333325</v>
      </c>
      <c r="AN48" s="13">
        <f t="shared" si="1"/>
        <v>0.28263333333333335</v>
      </c>
      <c r="AO48" s="81">
        <f t="shared" si="2"/>
        <v>0.49062499999999992</v>
      </c>
      <c r="AP48" s="85">
        <f t="shared" si="3"/>
        <v>0.35630000000000001</v>
      </c>
      <c r="AQ48" s="21"/>
      <c r="AR48" s="221">
        <v>740</v>
      </c>
      <c r="AS48" s="222">
        <v>953</v>
      </c>
      <c r="AT48" s="222">
        <v>9.1</v>
      </c>
      <c r="AU48" s="222">
        <v>37</v>
      </c>
      <c r="AV48" s="222">
        <v>70</v>
      </c>
      <c r="AW48" s="222">
        <v>82</v>
      </c>
      <c r="AX48" s="222">
        <v>62</v>
      </c>
      <c r="AY48" s="222"/>
      <c r="AZ48" s="222">
        <v>65</v>
      </c>
      <c r="BA48" s="222" t="s">
        <v>202</v>
      </c>
      <c r="BB48" s="223" t="s">
        <v>170</v>
      </c>
      <c r="BC48" s="21"/>
      <c r="BG48" s="41">
        <v>35</v>
      </c>
      <c r="BH48" s="1">
        <v>34</v>
      </c>
      <c r="BI48" s="1">
        <v>44</v>
      </c>
      <c r="BJ48" s="1">
        <v>36</v>
      </c>
      <c r="BK48" s="1">
        <v>35</v>
      </c>
      <c r="BL48" s="220">
        <f>(BG48+BH48+BI48+BJ48+BK48)/5</f>
        <v>36.799999999999997</v>
      </c>
      <c r="BM48" s="41">
        <v>60</v>
      </c>
      <c r="BN48" s="1">
        <v>78</v>
      </c>
      <c r="BO48" s="1">
        <v>72</v>
      </c>
      <c r="BP48" s="1">
        <v>78</v>
      </c>
      <c r="BQ48" s="1">
        <v>65</v>
      </c>
      <c r="BR48" s="220">
        <f>(BM48+BN48+BO48+BP48+BQ48)/5</f>
        <v>70.599999999999994</v>
      </c>
      <c r="BS48" s="41">
        <v>65</v>
      </c>
      <c r="BT48" s="1">
        <v>88</v>
      </c>
      <c r="BU48" s="1">
        <v>99</v>
      </c>
      <c r="BV48" s="1">
        <v>75</v>
      </c>
      <c r="BW48" s="1">
        <v>81</v>
      </c>
      <c r="BX48" s="220">
        <f>(BS48+BT48+BU48+BV48+BW48)/5</f>
        <v>81.599999999999994</v>
      </c>
      <c r="BY48" s="41">
        <v>63</v>
      </c>
      <c r="BZ48" s="1">
        <v>62</v>
      </c>
      <c r="CA48" s="1">
        <v>57</v>
      </c>
      <c r="CB48" s="1">
        <v>62</v>
      </c>
      <c r="CC48" s="1">
        <v>68</v>
      </c>
      <c r="CD48" s="220">
        <f>(BY48+BZ48+CA48+CB48+CC48)/5</f>
        <v>62.4</v>
      </c>
      <c r="CE48" s="41"/>
      <c r="CF48" s="1"/>
      <c r="CG48" s="1"/>
      <c r="CH48" s="1"/>
      <c r="CI48" s="1"/>
      <c r="CJ48" s="220"/>
      <c r="CK48" s="41">
        <v>61</v>
      </c>
      <c r="CL48" s="1">
        <v>64</v>
      </c>
      <c r="CM48" s="1">
        <v>60</v>
      </c>
      <c r="CN48" s="1">
        <v>70</v>
      </c>
      <c r="CO48" s="1">
        <v>71</v>
      </c>
      <c r="CP48" s="220">
        <f>(CK48+CL48+CM48+CN48+CO48)/5</f>
        <v>65.2</v>
      </c>
    </row>
    <row r="49" spans="1:94" x14ac:dyDescent="0.25">
      <c r="A49" s="210"/>
      <c r="B49" s="41">
        <v>2</v>
      </c>
      <c r="C49" s="1" t="s">
        <v>54</v>
      </c>
      <c r="D49" s="25">
        <v>4707</v>
      </c>
      <c r="E49" s="348" t="s">
        <v>41</v>
      </c>
      <c r="F49" s="1" t="s">
        <v>51</v>
      </c>
      <c r="G49" s="1" t="s">
        <v>83</v>
      </c>
      <c r="H49" s="8" t="s">
        <v>43</v>
      </c>
      <c r="I49" s="1">
        <v>3</v>
      </c>
      <c r="J49" s="1">
        <v>14</v>
      </c>
      <c r="K49" s="21"/>
      <c r="L49" s="1">
        <v>0.11</v>
      </c>
      <c r="M49" s="1">
        <v>0.44</v>
      </c>
      <c r="N49" s="1">
        <v>1.26</v>
      </c>
      <c r="O49" s="1">
        <v>0.01</v>
      </c>
      <c r="P49" s="15">
        <v>8.9999999999999993E-3</v>
      </c>
      <c r="Q49" s="1">
        <v>0.48</v>
      </c>
      <c r="R49" s="1">
        <v>2.0299999999999998</v>
      </c>
      <c r="S49" s="1">
        <v>0.55000000000000004</v>
      </c>
      <c r="T49" s="1">
        <v>3.0000000000000001E-3</v>
      </c>
      <c r="U49" s="1">
        <v>8.9999999999999993E-3</v>
      </c>
      <c r="V49" s="1">
        <v>4.0000000000000001E-3</v>
      </c>
      <c r="W49" s="1">
        <v>3.0000000000000001E-3</v>
      </c>
      <c r="X49" s="1">
        <v>1.7999999999999999E-2</v>
      </c>
      <c r="Y49" s="1">
        <v>1.0999999999999999E-2</v>
      </c>
      <c r="Z49" s="1">
        <v>2E-3</v>
      </c>
      <c r="AA49" s="1">
        <v>7.0000000000000001E-3</v>
      </c>
      <c r="AB49" s="1" t="s">
        <v>46</v>
      </c>
      <c r="AC49" s="1">
        <v>2E-3</v>
      </c>
      <c r="AD49" s="1">
        <v>2E-3</v>
      </c>
      <c r="AE49" s="1" t="s">
        <v>47</v>
      </c>
      <c r="AF49" s="1">
        <v>5.9999999999999995E-4</v>
      </c>
      <c r="AG49" s="1">
        <v>3.0000000000000001E-3</v>
      </c>
      <c r="AH49" s="1">
        <v>5.0000000000000001E-4</v>
      </c>
      <c r="AI49" s="1">
        <v>1.4E-3</v>
      </c>
      <c r="AJ49" s="1">
        <v>2.1999999999999999E-2</v>
      </c>
      <c r="AK49" s="53">
        <v>8.9999999999999993E-3</v>
      </c>
      <c r="AL49" s="385"/>
      <c r="AM49" s="74">
        <f t="shared" si="0"/>
        <v>0.66333333333333333</v>
      </c>
      <c r="AN49" s="13">
        <f t="shared" si="1"/>
        <v>0.28646666666666665</v>
      </c>
      <c r="AO49" s="81">
        <f t="shared" si="2"/>
        <v>0.48725663710339279</v>
      </c>
      <c r="AP49" s="85">
        <f t="shared" si="3"/>
        <v>0.36665000000000003</v>
      </c>
      <c r="AQ49" s="21"/>
      <c r="AR49" s="221">
        <v>675</v>
      </c>
      <c r="AS49" s="222">
        <v>897</v>
      </c>
      <c r="AT49" s="222">
        <v>15.1</v>
      </c>
      <c r="AU49" s="222">
        <v>43</v>
      </c>
      <c r="AV49" s="222">
        <v>64</v>
      </c>
      <c r="AW49" s="222">
        <v>78</v>
      </c>
      <c r="AX49" s="222">
        <v>146</v>
      </c>
      <c r="AY49" s="222"/>
      <c r="AZ49" s="222">
        <v>174</v>
      </c>
      <c r="BA49" s="222" t="s">
        <v>203</v>
      </c>
      <c r="BB49" s="223" t="s">
        <v>200</v>
      </c>
      <c r="BC49" s="21"/>
      <c r="BG49" s="41">
        <v>38</v>
      </c>
      <c r="BH49" s="1">
        <v>28</v>
      </c>
      <c r="BI49" s="1">
        <v>53</v>
      </c>
      <c r="BJ49" s="1">
        <v>51</v>
      </c>
      <c r="BK49" s="1">
        <v>45</v>
      </c>
      <c r="BL49" s="220">
        <f t="shared" ref="BL49:BL87" si="16">(BG49+BH49+BI49+BJ49+BK49)/5</f>
        <v>43</v>
      </c>
      <c r="BM49" s="41">
        <v>67</v>
      </c>
      <c r="BN49" s="1">
        <v>66</v>
      </c>
      <c r="BO49" s="1">
        <v>61</v>
      </c>
      <c r="BP49" s="1">
        <v>63</v>
      </c>
      <c r="BQ49" s="1">
        <v>65</v>
      </c>
      <c r="BR49" s="220">
        <f t="shared" ref="BR49:BR87" si="17">(BM49+BN49+BO49+BP49+BQ49)/5</f>
        <v>64.400000000000006</v>
      </c>
      <c r="BS49" s="41">
        <v>74</v>
      </c>
      <c r="BT49" s="1">
        <v>73</v>
      </c>
      <c r="BU49" s="1">
        <v>73</v>
      </c>
      <c r="BV49" s="1">
        <v>88</v>
      </c>
      <c r="BW49" s="1">
        <v>81</v>
      </c>
      <c r="BX49" s="220">
        <f t="shared" ref="BX49:BX87" si="18">(BS49+BT49+BU49+BV49+BW49)/5</f>
        <v>77.8</v>
      </c>
      <c r="BY49" s="41">
        <v>154</v>
      </c>
      <c r="BZ49" s="1">
        <v>153</v>
      </c>
      <c r="CA49" s="1">
        <v>163</v>
      </c>
      <c r="CB49" s="1">
        <v>146</v>
      </c>
      <c r="CC49" s="1">
        <v>111</v>
      </c>
      <c r="CD49" s="220">
        <f t="shared" ref="CD49:CD87" si="19">(BY49+BZ49+CA49+CB49+CC49)/5</f>
        <v>145.4</v>
      </c>
      <c r="CE49" s="41"/>
      <c r="CF49" s="1"/>
      <c r="CG49" s="1"/>
      <c r="CH49" s="1"/>
      <c r="CI49" s="1"/>
      <c r="CJ49" s="220"/>
      <c r="CK49" s="41">
        <v>168</v>
      </c>
      <c r="CL49" s="1">
        <v>171</v>
      </c>
      <c r="CM49" s="1">
        <v>177</v>
      </c>
      <c r="CN49" s="1">
        <v>176</v>
      </c>
      <c r="CO49" s="1">
        <v>177</v>
      </c>
      <c r="CP49" s="220">
        <f t="shared" ref="CP49:CP87" si="20">(CK49+CL49+CM49+CN49+CO49)/5</f>
        <v>173.8</v>
      </c>
    </row>
    <row r="50" spans="1:94" x14ac:dyDescent="0.25">
      <c r="A50" s="210"/>
      <c r="B50" s="41">
        <v>3</v>
      </c>
      <c r="C50" s="1" t="s">
        <v>54</v>
      </c>
      <c r="D50" s="25">
        <v>4708</v>
      </c>
      <c r="E50" s="348" t="s">
        <v>41</v>
      </c>
      <c r="F50" s="1" t="s">
        <v>52</v>
      </c>
      <c r="G50" s="1" t="s">
        <v>83</v>
      </c>
      <c r="H50" s="8" t="s">
        <v>43</v>
      </c>
      <c r="I50" s="1">
        <v>3</v>
      </c>
      <c r="J50" s="1">
        <v>10</v>
      </c>
      <c r="K50" s="21"/>
      <c r="L50" s="1">
        <v>0.11</v>
      </c>
      <c r="M50" s="1">
        <v>0.52</v>
      </c>
      <c r="N50" s="1">
        <v>1.53</v>
      </c>
      <c r="O50" s="1">
        <v>1.0999999999999999E-2</v>
      </c>
      <c r="P50" s="15">
        <v>5.0000000000000001E-3</v>
      </c>
      <c r="Q50" s="1">
        <v>0.3</v>
      </c>
      <c r="R50" s="1">
        <v>1.36</v>
      </c>
      <c r="S50" s="1">
        <v>0.36</v>
      </c>
      <c r="T50" s="1">
        <v>5.0000000000000001E-3</v>
      </c>
      <c r="U50" s="1">
        <v>8.0000000000000002E-3</v>
      </c>
      <c r="V50" s="1">
        <v>5.0000000000000001E-3</v>
      </c>
      <c r="W50" s="1">
        <v>3.0000000000000001E-3</v>
      </c>
      <c r="X50" s="1">
        <v>2.4E-2</v>
      </c>
      <c r="Y50" s="1">
        <v>1.2E-2</v>
      </c>
      <c r="Z50" s="1">
        <v>2E-3</v>
      </c>
      <c r="AA50" s="1">
        <v>3.3E-3</v>
      </c>
      <c r="AB50" s="1" t="s">
        <v>46</v>
      </c>
      <c r="AC50" s="1">
        <v>1.6999999999999999E-3</v>
      </c>
      <c r="AD50" s="1">
        <v>2E-3</v>
      </c>
      <c r="AE50" s="1" t="s">
        <v>47</v>
      </c>
      <c r="AF50" s="1">
        <v>1E-3</v>
      </c>
      <c r="AG50" s="1">
        <v>2E-3</v>
      </c>
      <c r="AH50" s="1">
        <v>2.9999999999999997E-4</v>
      </c>
      <c r="AI50" s="1">
        <v>5.0000000000000001E-4</v>
      </c>
      <c r="AJ50" s="1">
        <v>2.7E-2</v>
      </c>
      <c r="AK50" s="53">
        <v>7.0000000000000001E-3</v>
      </c>
      <c r="AL50" s="385"/>
      <c r="AM50" s="74">
        <f t="shared" si="0"/>
        <v>0.59026666666666661</v>
      </c>
      <c r="AN50" s="13">
        <f t="shared" si="1"/>
        <v>0.2722</v>
      </c>
      <c r="AO50" s="81">
        <f t="shared" si="2"/>
        <v>0.44622154075035231</v>
      </c>
      <c r="AP50" s="85">
        <f t="shared" si="3"/>
        <v>0.34919999999999995</v>
      </c>
      <c r="AQ50" s="21"/>
      <c r="AR50" s="221">
        <v>712</v>
      </c>
      <c r="AS50" s="222">
        <v>884</v>
      </c>
      <c r="AT50" s="222">
        <v>17.399999999999999</v>
      </c>
      <c r="AU50" s="222">
        <v>30</v>
      </c>
      <c r="AV50" s="222">
        <v>52</v>
      </c>
      <c r="AW50" s="222">
        <v>70</v>
      </c>
      <c r="AX50" s="222">
        <v>87</v>
      </c>
      <c r="AY50" s="222"/>
      <c r="AZ50" s="222">
        <v>119</v>
      </c>
      <c r="BA50" s="222" t="s">
        <v>204</v>
      </c>
      <c r="BB50" s="223" t="s">
        <v>201</v>
      </c>
      <c r="BC50" s="21"/>
      <c r="BG50" s="41">
        <v>24</v>
      </c>
      <c r="BH50" s="1">
        <v>29</v>
      </c>
      <c r="BI50" s="1">
        <v>21</v>
      </c>
      <c r="BJ50" s="1">
        <v>41</v>
      </c>
      <c r="BK50" s="1">
        <v>37</v>
      </c>
      <c r="BL50" s="220">
        <f t="shared" si="16"/>
        <v>30.4</v>
      </c>
      <c r="BM50" s="41">
        <v>60</v>
      </c>
      <c r="BN50" s="1">
        <v>41</v>
      </c>
      <c r="BO50" s="1">
        <v>50</v>
      </c>
      <c r="BP50" s="1">
        <v>51</v>
      </c>
      <c r="BQ50" s="1">
        <v>57</v>
      </c>
      <c r="BR50" s="220">
        <f t="shared" si="17"/>
        <v>51.8</v>
      </c>
      <c r="BS50" s="41">
        <v>69</v>
      </c>
      <c r="BT50" s="1">
        <v>66</v>
      </c>
      <c r="BU50" s="1">
        <v>70</v>
      </c>
      <c r="BV50" s="1">
        <v>70</v>
      </c>
      <c r="BW50" s="1">
        <v>79</v>
      </c>
      <c r="BX50" s="220">
        <f t="shared" si="18"/>
        <v>70.8</v>
      </c>
      <c r="BY50" s="41">
        <v>83</v>
      </c>
      <c r="BZ50" s="1">
        <v>87</v>
      </c>
      <c r="CA50" s="1">
        <v>100</v>
      </c>
      <c r="CB50" s="1">
        <v>80</v>
      </c>
      <c r="CC50" s="1">
        <v>86</v>
      </c>
      <c r="CD50" s="220">
        <f t="shared" si="19"/>
        <v>87.2</v>
      </c>
      <c r="CE50" s="41"/>
      <c r="CF50" s="1"/>
      <c r="CG50" s="1"/>
      <c r="CH50" s="1"/>
      <c r="CI50" s="1"/>
      <c r="CJ50" s="220"/>
      <c r="CK50" s="41">
        <v>124</v>
      </c>
      <c r="CL50" s="1">
        <v>128</v>
      </c>
      <c r="CM50" s="1">
        <v>116</v>
      </c>
      <c r="CN50" s="1">
        <v>114</v>
      </c>
      <c r="CO50" s="1">
        <v>114</v>
      </c>
      <c r="CP50" s="220">
        <f t="shared" si="20"/>
        <v>119.2</v>
      </c>
    </row>
    <row r="51" spans="1:94" x14ac:dyDescent="0.25">
      <c r="A51" s="210"/>
      <c r="B51" s="41">
        <v>4</v>
      </c>
      <c r="C51" s="1" t="s">
        <v>54</v>
      </c>
      <c r="D51" s="25">
        <v>4709</v>
      </c>
      <c r="E51" s="348" t="s">
        <v>41</v>
      </c>
      <c r="F51" s="1" t="s">
        <v>52</v>
      </c>
      <c r="G51" s="1" t="s">
        <v>83</v>
      </c>
      <c r="H51" s="8" t="s">
        <v>43</v>
      </c>
      <c r="I51" s="1">
        <v>3</v>
      </c>
      <c r="J51" s="1">
        <v>14</v>
      </c>
      <c r="K51" s="21"/>
      <c r="L51" s="12">
        <v>0.1</v>
      </c>
      <c r="M51" s="1">
        <v>0.49</v>
      </c>
      <c r="N51" s="1">
        <v>1.48</v>
      </c>
      <c r="O51" s="1">
        <v>1.0999999999999999E-2</v>
      </c>
      <c r="P51" s="15">
        <v>6.0000000000000001E-3</v>
      </c>
      <c r="Q51" s="1">
        <v>0.3</v>
      </c>
      <c r="R51" s="1">
        <v>1.32</v>
      </c>
      <c r="S51" s="1">
        <v>0.35</v>
      </c>
      <c r="T51" s="1">
        <v>4.0000000000000001E-3</v>
      </c>
      <c r="U51" s="1">
        <v>8.0000000000000002E-3</v>
      </c>
      <c r="V51" s="1">
        <v>5.0000000000000001E-3</v>
      </c>
      <c r="W51" s="1">
        <v>3.0000000000000001E-3</v>
      </c>
      <c r="X51" s="1">
        <v>2.4E-2</v>
      </c>
      <c r="Y51" s="1">
        <v>1.2E-2</v>
      </c>
      <c r="Z51" s="1">
        <v>2E-3</v>
      </c>
      <c r="AA51" s="1">
        <v>3.2000000000000002E-3</v>
      </c>
      <c r="AB51" s="1" t="s">
        <v>46</v>
      </c>
      <c r="AC51" s="1">
        <v>1.6000000000000001E-3</v>
      </c>
      <c r="AD51" s="1">
        <v>2E-3</v>
      </c>
      <c r="AE51" s="1" t="s">
        <v>47</v>
      </c>
      <c r="AF51" s="1">
        <v>1.1999999999999999E-3</v>
      </c>
      <c r="AG51" s="1">
        <v>2E-3</v>
      </c>
      <c r="AH51" s="1">
        <v>2.0000000000000001E-4</v>
      </c>
      <c r="AI51" s="1">
        <v>5.0000000000000001E-4</v>
      </c>
      <c r="AJ51" s="1">
        <v>3.2000000000000001E-2</v>
      </c>
      <c r="AK51" s="53">
        <v>8.9999999999999993E-3</v>
      </c>
      <c r="AL51" s="385"/>
      <c r="AM51" s="74">
        <f t="shared" si="0"/>
        <v>0.5672666666666667</v>
      </c>
      <c r="AN51" s="13">
        <f t="shared" si="1"/>
        <v>0.25836666666666669</v>
      </c>
      <c r="AO51" s="81">
        <f t="shared" si="2"/>
        <v>0.40542153284577331</v>
      </c>
      <c r="AP51" s="85">
        <f t="shared" si="3"/>
        <v>0.33219999999999994</v>
      </c>
      <c r="AQ51" s="21"/>
      <c r="AR51" s="221">
        <v>664</v>
      </c>
      <c r="AS51" s="222">
        <v>849</v>
      </c>
      <c r="AT51" s="222">
        <v>10.6</v>
      </c>
      <c r="AU51" s="222">
        <v>27</v>
      </c>
      <c r="AV51" s="222">
        <v>38</v>
      </c>
      <c r="AW51" s="222">
        <v>60</v>
      </c>
      <c r="AX51" s="222">
        <v>109</v>
      </c>
      <c r="AY51" s="222"/>
      <c r="AZ51" s="222">
        <v>125</v>
      </c>
      <c r="BA51" s="222" t="s">
        <v>205</v>
      </c>
      <c r="BB51" s="223" t="s">
        <v>170</v>
      </c>
      <c r="BC51" s="21"/>
      <c r="BG51" s="41">
        <v>24</v>
      </c>
      <c r="BH51" s="1">
        <v>34</v>
      </c>
      <c r="BI51" s="1">
        <v>24</v>
      </c>
      <c r="BJ51" s="1">
        <v>28</v>
      </c>
      <c r="BK51" s="1">
        <v>24</v>
      </c>
      <c r="BL51" s="220">
        <f t="shared" si="16"/>
        <v>26.8</v>
      </c>
      <c r="BM51" s="41">
        <v>43</v>
      </c>
      <c r="BN51" s="1">
        <v>38</v>
      </c>
      <c r="BO51" s="1">
        <v>44</v>
      </c>
      <c r="BP51" s="1">
        <v>31</v>
      </c>
      <c r="BQ51" s="1">
        <v>34</v>
      </c>
      <c r="BR51" s="220">
        <f t="shared" si="17"/>
        <v>38</v>
      </c>
      <c r="BS51" s="41">
        <v>63</v>
      </c>
      <c r="BT51" s="1">
        <v>54</v>
      </c>
      <c r="BU51" s="1">
        <v>64</v>
      </c>
      <c r="BV51" s="1">
        <v>64</v>
      </c>
      <c r="BW51" s="1">
        <v>54</v>
      </c>
      <c r="BX51" s="220">
        <f t="shared" si="18"/>
        <v>59.8</v>
      </c>
      <c r="BY51" s="41">
        <v>104</v>
      </c>
      <c r="BZ51" s="1">
        <v>109</v>
      </c>
      <c r="CA51" s="1">
        <v>103</v>
      </c>
      <c r="CB51" s="1">
        <v>107</v>
      </c>
      <c r="CC51" s="1">
        <v>122</v>
      </c>
      <c r="CD51" s="220">
        <f t="shared" si="19"/>
        <v>109</v>
      </c>
      <c r="CE51" s="41"/>
      <c r="CF51" s="1"/>
      <c r="CG51" s="1"/>
      <c r="CH51" s="1"/>
      <c r="CI51" s="1"/>
      <c r="CJ51" s="220"/>
      <c r="CK51" s="41">
        <v>115</v>
      </c>
      <c r="CL51" s="1">
        <v>122</v>
      </c>
      <c r="CM51" s="1">
        <v>119</v>
      </c>
      <c r="CN51" s="1">
        <v>147</v>
      </c>
      <c r="CO51" s="1">
        <v>122</v>
      </c>
      <c r="CP51" s="220">
        <f t="shared" si="20"/>
        <v>125</v>
      </c>
    </row>
    <row r="52" spans="1:94" x14ac:dyDescent="0.25">
      <c r="A52" s="210"/>
      <c r="B52" s="41">
        <v>7</v>
      </c>
      <c r="C52" s="1" t="s">
        <v>54</v>
      </c>
      <c r="D52" s="25">
        <v>4710</v>
      </c>
      <c r="E52" s="348" t="s">
        <v>42</v>
      </c>
      <c r="F52" s="1" t="s">
        <v>53</v>
      </c>
      <c r="G52" s="1" t="s">
        <v>83</v>
      </c>
      <c r="H52" s="8" t="s">
        <v>43</v>
      </c>
      <c r="I52" s="1">
        <v>3</v>
      </c>
      <c r="J52" s="1">
        <v>10</v>
      </c>
      <c r="K52" s="21"/>
      <c r="L52" s="1">
        <v>0.13</v>
      </c>
      <c r="M52" s="1">
        <v>0.43</v>
      </c>
      <c r="N52" s="1">
        <v>1.26</v>
      </c>
      <c r="O52" s="1">
        <v>8.0000000000000002E-3</v>
      </c>
      <c r="P52" s="15">
        <v>5.0000000000000001E-3</v>
      </c>
      <c r="Q52" s="1">
        <v>0.42</v>
      </c>
      <c r="R52" s="1">
        <v>1.82</v>
      </c>
      <c r="S52" s="1">
        <v>0.67</v>
      </c>
      <c r="T52" s="1">
        <v>4.0000000000000001E-3</v>
      </c>
      <c r="U52" s="1">
        <v>0.01</v>
      </c>
      <c r="V52" s="1">
        <v>1.4E-2</v>
      </c>
      <c r="W52" s="1">
        <v>7.0000000000000001E-3</v>
      </c>
      <c r="X52" s="1">
        <v>0.02</v>
      </c>
      <c r="Y52" s="1">
        <v>1.9E-2</v>
      </c>
      <c r="Z52" s="1">
        <v>2E-3</v>
      </c>
      <c r="AA52" s="1">
        <v>1.2E-2</v>
      </c>
      <c r="AB52" s="1" t="s">
        <v>46</v>
      </c>
      <c r="AC52" s="1">
        <v>2E-3</v>
      </c>
      <c r="AD52" s="1">
        <v>2E-3</v>
      </c>
      <c r="AE52" s="1" t="s">
        <v>47</v>
      </c>
      <c r="AF52" s="1">
        <v>5.0000000000000001E-4</v>
      </c>
      <c r="AG52" s="1">
        <v>2E-3</v>
      </c>
      <c r="AH52" s="1">
        <v>8.0000000000000004E-4</v>
      </c>
      <c r="AI52" s="1">
        <v>1.6999999999999999E-3</v>
      </c>
      <c r="AJ52" s="1">
        <v>1.4999999999999999E-2</v>
      </c>
      <c r="AK52" s="53">
        <v>4.0000000000000001E-3</v>
      </c>
      <c r="AL52" s="385"/>
      <c r="AM52" s="74">
        <f t="shared" si="0"/>
        <v>0.68346666666666667</v>
      </c>
      <c r="AN52" s="13">
        <f t="shared" si="1"/>
        <v>0.30823333333333336</v>
      </c>
      <c r="AO52" s="81">
        <f t="shared" si="2"/>
        <v>0.56360406061399981</v>
      </c>
      <c r="AP52" s="85">
        <f t="shared" si="3"/>
        <v>0.39050000000000001</v>
      </c>
      <c r="AQ52" s="21"/>
      <c r="AR52" s="457" t="s">
        <v>193</v>
      </c>
      <c r="AS52" s="458"/>
      <c r="AT52" s="458"/>
      <c r="AU52" s="222">
        <v>24</v>
      </c>
      <c r="AV52" s="222">
        <v>44</v>
      </c>
      <c r="AW52" s="222">
        <v>39</v>
      </c>
      <c r="AX52" s="222">
        <v>56</v>
      </c>
      <c r="AY52" s="222"/>
      <c r="AZ52" s="222">
        <v>66</v>
      </c>
      <c r="BA52" s="222" t="s">
        <v>206</v>
      </c>
      <c r="BB52" s="223" t="s">
        <v>201</v>
      </c>
      <c r="BC52" s="21"/>
      <c r="BG52" s="41">
        <v>22</v>
      </c>
      <c r="BH52" s="1">
        <v>27</v>
      </c>
      <c r="BI52" s="1">
        <v>33</v>
      </c>
      <c r="BJ52" s="1">
        <v>19</v>
      </c>
      <c r="BK52" s="1">
        <v>21</v>
      </c>
      <c r="BL52" s="220">
        <f t="shared" si="16"/>
        <v>24.4</v>
      </c>
      <c r="BM52" s="41">
        <v>53</v>
      </c>
      <c r="BN52" s="1">
        <v>28</v>
      </c>
      <c r="BO52" s="1">
        <v>68</v>
      </c>
      <c r="BP52" s="1">
        <v>37</v>
      </c>
      <c r="BQ52" s="1">
        <v>33</v>
      </c>
      <c r="BR52" s="220">
        <f t="shared" si="17"/>
        <v>43.8</v>
      </c>
      <c r="BS52" s="41">
        <v>43</v>
      </c>
      <c r="BT52" s="1">
        <v>37</v>
      </c>
      <c r="BU52" s="1">
        <v>43</v>
      </c>
      <c r="BV52" s="1">
        <v>36</v>
      </c>
      <c r="BW52" s="1">
        <v>36</v>
      </c>
      <c r="BX52" s="220">
        <f t="shared" si="18"/>
        <v>39</v>
      </c>
      <c r="BY52" s="41">
        <v>52</v>
      </c>
      <c r="BZ52" s="1">
        <v>58</v>
      </c>
      <c r="CA52" s="1">
        <v>54</v>
      </c>
      <c r="CB52" s="1">
        <v>56</v>
      </c>
      <c r="CC52" s="1">
        <v>58</v>
      </c>
      <c r="CD52" s="220">
        <f t="shared" si="19"/>
        <v>55.6</v>
      </c>
      <c r="CE52" s="41"/>
      <c r="CF52" s="1"/>
      <c r="CG52" s="1"/>
      <c r="CH52" s="1"/>
      <c r="CI52" s="1"/>
      <c r="CJ52" s="220"/>
      <c r="CK52" s="41">
        <v>67</v>
      </c>
      <c r="CL52" s="1">
        <v>64</v>
      </c>
      <c r="CM52" s="1">
        <v>75</v>
      </c>
      <c r="CN52" s="1">
        <v>64</v>
      </c>
      <c r="CO52" s="1">
        <v>60</v>
      </c>
      <c r="CP52" s="220">
        <f t="shared" si="20"/>
        <v>66</v>
      </c>
    </row>
    <row r="53" spans="1:94" x14ac:dyDescent="0.25">
      <c r="A53" s="210"/>
      <c r="B53" s="41">
        <v>8</v>
      </c>
      <c r="C53" s="1" t="s">
        <v>54</v>
      </c>
      <c r="D53" s="25">
        <v>4711</v>
      </c>
      <c r="E53" s="348" t="s">
        <v>42</v>
      </c>
      <c r="F53" s="1" t="s">
        <v>53</v>
      </c>
      <c r="G53" s="1" t="s">
        <v>83</v>
      </c>
      <c r="H53" s="8" t="s">
        <v>43</v>
      </c>
      <c r="I53" s="1">
        <v>3</v>
      </c>
      <c r="J53" s="1">
        <v>14</v>
      </c>
      <c r="K53" s="21"/>
      <c r="L53" s="1">
        <v>0.12</v>
      </c>
      <c r="M53" s="1">
        <v>0.48</v>
      </c>
      <c r="N53" s="1">
        <v>1.28</v>
      </c>
      <c r="O53" s="1">
        <v>8.9999999999999993E-3</v>
      </c>
      <c r="P53" s="15">
        <v>7.0000000000000001E-3</v>
      </c>
      <c r="Q53" s="1">
        <v>0.5</v>
      </c>
      <c r="R53" s="1">
        <v>2.0699999999999998</v>
      </c>
      <c r="S53" s="1">
        <v>0.68</v>
      </c>
      <c r="T53" s="1">
        <v>4.0000000000000001E-3</v>
      </c>
      <c r="U53" s="1">
        <v>8.9999999999999993E-3</v>
      </c>
      <c r="V53" s="1">
        <v>0.01</v>
      </c>
      <c r="W53" s="1">
        <v>7.0000000000000001E-3</v>
      </c>
      <c r="X53" s="1">
        <v>2.3E-2</v>
      </c>
      <c r="Y53" s="1">
        <v>1.6E-2</v>
      </c>
      <c r="Z53" s="1">
        <v>2E-3</v>
      </c>
      <c r="AA53" s="1">
        <v>1.2999999999999999E-2</v>
      </c>
      <c r="AB53" s="1" t="s">
        <v>46</v>
      </c>
      <c r="AC53" s="1">
        <v>2E-3</v>
      </c>
      <c r="AD53" s="1">
        <v>2E-3</v>
      </c>
      <c r="AE53" s="1" t="s">
        <v>47</v>
      </c>
      <c r="AF53" s="1">
        <v>4.0000000000000002E-4</v>
      </c>
      <c r="AG53" s="1">
        <v>3.0000000000000001E-3</v>
      </c>
      <c r="AH53" s="1">
        <v>8.0000000000000004E-4</v>
      </c>
      <c r="AI53" s="1">
        <v>1.2999999999999999E-3</v>
      </c>
      <c r="AJ53" s="1">
        <v>3.5000000000000003E-2</v>
      </c>
      <c r="AK53" s="53">
        <v>1.0999999999999999E-2</v>
      </c>
      <c r="AL53" s="385"/>
      <c r="AM53" s="74">
        <f t="shared" si="0"/>
        <v>0.71086666666666665</v>
      </c>
      <c r="AN53" s="13">
        <f t="shared" si="1"/>
        <v>0.30898333333333339</v>
      </c>
      <c r="AO53" s="81">
        <f t="shared" si="2"/>
        <v>0.55332499999999996</v>
      </c>
      <c r="AP53" s="85">
        <f t="shared" si="3"/>
        <v>0.39390000000000003</v>
      </c>
      <c r="AQ53" s="21"/>
      <c r="AR53" s="221">
        <v>835</v>
      </c>
      <c r="AS53" s="222">
        <v>965</v>
      </c>
      <c r="AT53" s="222">
        <v>3.4</v>
      </c>
      <c r="AU53" s="222"/>
      <c r="AV53" s="222">
        <v>26</v>
      </c>
      <c r="AW53" s="222">
        <v>30</v>
      </c>
      <c r="AX53" s="222">
        <v>54</v>
      </c>
      <c r="AY53" s="222"/>
      <c r="AZ53" s="222">
        <v>73</v>
      </c>
      <c r="BA53" s="222" t="s">
        <v>207</v>
      </c>
      <c r="BB53" s="223" t="s">
        <v>201</v>
      </c>
      <c r="BC53" s="21"/>
      <c r="BG53" s="41"/>
      <c r="BH53" s="1"/>
      <c r="BI53" s="1"/>
      <c r="BJ53" s="1"/>
      <c r="BK53" s="1"/>
      <c r="BL53" s="220">
        <f t="shared" si="16"/>
        <v>0</v>
      </c>
      <c r="BM53" s="41">
        <v>21</v>
      </c>
      <c r="BN53" s="1">
        <v>26</v>
      </c>
      <c r="BO53" s="1">
        <v>34</v>
      </c>
      <c r="BP53" s="1">
        <v>27</v>
      </c>
      <c r="BQ53" s="1">
        <v>27</v>
      </c>
      <c r="BR53" s="220">
        <f t="shared" si="17"/>
        <v>27</v>
      </c>
      <c r="BS53" s="41">
        <v>30</v>
      </c>
      <c r="BT53" s="1">
        <v>39</v>
      </c>
      <c r="BU53" s="1">
        <v>41</v>
      </c>
      <c r="BV53" s="1">
        <v>22</v>
      </c>
      <c r="BW53" s="1">
        <v>20</v>
      </c>
      <c r="BX53" s="220">
        <f t="shared" si="18"/>
        <v>30.4</v>
      </c>
      <c r="BY53" s="41">
        <v>52</v>
      </c>
      <c r="BZ53" s="1">
        <v>44</v>
      </c>
      <c r="CA53" s="1">
        <v>47</v>
      </c>
      <c r="CB53" s="1">
        <v>65</v>
      </c>
      <c r="CC53" s="1">
        <v>61</v>
      </c>
      <c r="CD53" s="220">
        <f t="shared" si="19"/>
        <v>53.8</v>
      </c>
      <c r="CE53" s="41"/>
      <c r="CF53" s="1"/>
      <c r="CG53" s="1"/>
      <c r="CH53" s="1"/>
      <c r="CI53" s="1"/>
      <c r="CJ53" s="220"/>
      <c r="CK53" s="41">
        <v>70</v>
      </c>
      <c r="CL53" s="1">
        <v>80</v>
      </c>
      <c r="CM53" s="1">
        <v>61</v>
      </c>
      <c r="CN53" s="1">
        <v>75</v>
      </c>
      <c r="CO53" s="1">
        <v>78</v>
      </c>
      <c r="CP53" s="220">
        <f t="shared" si="20"/>
        <v>72.8</v>
      </c>
    </row>
    <row r="54" spans="1:94" ht="24.75" customHeight="1" x14ac:dyDescent="0.25">
      <c r="A54" s="210"/>
      <c r="B54" s="41"/>
      <c r="E54" s="42"/>
      <c r="H54" s="8"/>
      <c r="K54" s="21"/>
      <c r="L54" s="15"/>
      <c r="M54" s="12"/>
      <c r="N54" s="12"/>
      <c r="O54" s="1"/>
      <c r="P54" s="1"/>
      <c r="Q54" s="1"/>
      <c r="R54" s="45"/>
      <c r="S54" s="1"/>
      <c r="T54" s="1"/>
      <c r="U54" s="1"/>
      <c r="V54" s="1"/>
      <c r="W54" s="1"/>
      <c r="X54" s="1"/>
      <c r="Y54" s="1"/>
      <c r="Z54" s="15"/>
      <c r="AA54" s="15"/>
      <c r="AB54" s="1"/>
      <c r="AC54" s="1"/>
      <c r="AD54" s="1"/>
      <c r="AE54" s="1"/>
      <c r="AF54" s="1"/>
      <c r="AG54" s="43"/>
      <c r="AH54" s="1"/>
      <c r="AI54" s="1"/>
      <c r="AJ54" s="15"/>
      <c r="AK54" s="44"/>
      <c r="AL54" s="21"/>
      <c r="AM54" s="74"/>
      <c r="AN54" s="13"/>
      <c r="AO54" s="81"/>
      <c r="AP54" s="85"/>
      <c r="AQ54" s="21"/>
      <c r="AR54" s="210"/>
      <c r="BB54" s="46"/>
      <c r="BC54" s="21"/>
      <c r="BG54" s="210"/>
      <c r="BL54" s="220"/>
      <c r="BM54" s="210"/>
      <c r="BR54" s="220"/>
      <c r="BS54" s="210"/>
      <c r="BX54" s="220"/>
      <c r="BY54" s="210"/>
      <c r="CD54" s="220"/>
      <c r="CE54" s="210"/>
      <c r="CJ54" s="220"/>
      <c r="CK54" s="210"/>
      <c r="CP54" s="220"/>
    </row>
    <row r="55" spans="1:94" x14ac:dyDescent="0.25">
      <c r="A55" s="210"/>
      <c r="B55" s="41">
        <v>1</v>
      </c>
      <c r="C55" s="1" t="s">
        <v>54</v>
      </c>
      <c r="E55" s="10" t="s">
        <v>41</v>
      </c>
      <c r="F55" s="1" t="s">
        <v>51</v>
      </c>
      <c r="G55" s="1" t="s">
        <v>83</v>
      </c>
      <c r="H55" s="8" t="s">
        <v>43</v>
      </c>
      <c r="I55" s="1">
        <v>7</v>
      </c>
      <c r="J55" s="1">
        <v>8</v>
      </c>
      <c r="K55" s="21"/>
      <c r="L55" s="1">
        <v>0.11</v>
      </c>
      <c r="M55" s="1">
        <v>0.54</v>
      </c>
      <c r="N55" s="1">
        <v>1.31</v>
      </c>
      <c r="O55" s="1">
        <v>0.01</v>
      </c>
      <c r="P55" s="15">
        <v>8.9999999999999993E-3</v>
      </c>
      <c r="Q55" s="1">
        <v>0.51</v>
      </c>
      <c r="R55" s="1">
        <v>2.41</v>
      </c>
      <c r="S55" s="1">
        <v>0.62</v>
      </c>
      <c r="T55" s="1">
        <v>4.0000000000000001E-3</v>
      </c>
      <c r="U55" s="1">
        <v>8.0000000000000002E-3</v>
      </c>
      <c r="V55" s="1">
        <v>3.0000000000000001E-3</v>
      </c>
      <c r="W55" s="1">
        <v>5.0000000000000001E-3</v>
      </c>
      <c r="X55" s="1">
        <v>0.02</v>
      </c>
      <c r="Y55" s="1">
        <v>8.0000000000000002E-3</v>
      </c>
      <c r="Z55" s="1">
        <v>2E-3</v>
      </c>
      <c r="AA55" s="1">
        <v>8.0000000000000002E-3</v>
      </c>
      <c r="AB55" s="1" t="s">
        <v>49</v>
      </c>
      <c r="AC55" s="1">
        <v>3.0000000000000001E-3</v>
      </c>
      <c r="AD55" s="1"/>
      <c r="AE55" s="1" t="s">
        <v>50</v>
      </c>
      <c r="AF55" s="1">
        <v>4.0000000000000002E-4</v>
      </c>
      <c r="AG55" s="1">
        <v>4.0000000000000001E-3</v>
      </c>
      <c r="AH55" s="1">
        <v>6.9999999999999999E-4</v>
      </c>
      <c r="AI55" s="1">
        <v>1.5E-3</v>
      </c>
      <c r="AJ55" s="1">
        <v>0.02</v>
      </c>
      <c r="AK55" s="53">
        <v>2E-3</v>
      </c>
      <c r="AL55" s="21"/>
      <c r="AM55" s="74">
        <f t="shared" si="0"/>
        <v>0.71693333333333342</v>
      </c>
      <c r="AN55" s="13">
        <f t="shared" si="1"/>
        <v>0.30380000000000007</v>
      </c>
      <c r="AO55" s="81">
        <f t="shared" si="2"/>
        <v>0.5235739819121451</v>
      </c>
      <c r="AP55" s="85">
        <f t="shared" si="3"/>
        <v>0.38975000000000004</v>
      </c>
      <c r="AQ55" s="21"/>
      <c r="AR55" s="10">
        <v>832</v>
      </c>
      <c r="AS55" s="10">
        <v>990</v>
      </c>
      <c r="AT55" s="10">
        <v>16</v>
      </c>
      <c r="AU55" s="10">
        <v>38</v>
      </c>
      <c r="AV55" s="10">
        <v>48</v>
      </c>
      <c r="AW55" s="10">
        <v>64</v>
      </c>
      <c r="AX55" s="10">
        <v>78</v>
      </c>
      <c r="AZ55" s="163">
        <v>104</v>
      </c>
      <c r="BA55" s="11" t="s">
        <v>183</v>
      </c>
      <c r="BB55" s="218" t="s">
        <v>184</v>
      </c>
      <c r="BC55" s="21"/>
      <c r="BG55" s="210">
        <v>45</v>
      </c>
      <c r="BH55" s="1">
        <v>26</v>
      </c>
      <c r="BI55" s="1">
        <v>41</v>
      </c>
      <c r="BJ55" s="1">
        <v>34</v>
      </c>
      <c r="BK55" s="1">
        <v>45</v>
      </c>
      <c r="BL55" s="220">
        <f t="shared" si="16"/>
        <v>38.200000000000003</v>
      </c>
      <c r="BM55" s="210">
        <v>42</v>
      </c>
      <c r="BN55" s="1">
        <v>59</v>
      </c>
      <c r="BO55" s="1">
        <v>37</v>
      </c>
      <c r="BP55" s="1">
        <v>45</v>
      </c>
      <c r="BQ55" s="1">
        <v>58</v>
      </c>
      <c r="BR55" s="220">
        <f t="shared" si="17"/>
        <v>48.2</v>
      </c>
      <c r="BS55" s="210">
        <v>82</v>
      </c>
      <c r="BT55" s="1">
        <v>59</v>
      </c>
      <c r="BU55" s="1">
        <v>65</v>
      </c>
      <c r="BV55" s="1">
        <v>55</v>
      </c>
      <c r="BW55" s="1">
        <v>61</v>
      </c>
      <c r="BX55" s="220">
        <f t="shared" si="18"/>
        <v>64.400000000000006</v>
      </c>
      <c r="BY55" s="210">
        <v>73</v>
      </c>
      <c r="BZ55" s="1">
        <v>75</v>
      </c>
      <c r="CA55" s="1">
        <v>78</v>
      </c>
      <c r="CB55" s="1">
        <v>87</v>
      </c>
      <c r="CC55" s="1">
        <v>76</v>
      </c>
      <c r="CD55" s="220">
        <f t="shared" si="19"/>
        <v>77.8</v>
      </c>
      <c r="CE55" s="210"/>
      <c r="CJ55" s="220"/>
      <c r="CK55" s="210">
        <v>103</v>
      </c>
      <c r="CL55" s="1">
        <v>113</v>
      </c>
      <c r="CM55" s="1">
        <v>114</v>
      </c>
      <c r="CN55" s="1">
        <v>105</v>
      </c>
      <c r="CO55" s="1">
        <v>84</v>
      </c>
      <c r="CP55" s="220">
        <f t="shared" si="20"/>
        <v>103.8</v>
      </c>
    </row>
    <row r="56" spans="1:94" x14ac:dyDescent="0.25">
      <c r="A56" s="210"/>
      <c r="B56" s="41">
        <v>2</v>
      </c>
      <c r="C56" s="1" t="s">
        <v>54</v>
      </c>
      <c r="E56" s="10" t="s">
        <v>41</v>
      </c>
      <c r="F56" s="1" t="s">
        <v>51</v>
      </c>
      <c r="G56" s="1" t="s">
        <v>83</v>
      </c>
      <c r="H56" s="8" t="s">
        <v>43</v>
      </c>
      <c r="I56" s="1">
        <v>5</v>
      </c>
      <c r="J56" s="1">
        <v>13</v>
      </c>
      <c r="K56" s="21"/>
      <c r="L56" s="1">
        <v>0.1</v>
      </c>
      <c r="M56" s="1">
        <v>0.49</v>
      </c>
      <c r="N56" s="1">
        <v>1.23</v>
      </c>
      <c r="O56" s="1">
        <v>0.01</v>
      </c>
      <c r="P56" s="15">
        <v>0.01</v>
      </c>
      <c r="Q56" s="1">
        <v>0.49</v>
      </c>
      <c r="R56" s="1">
        <v>2.58</v>
      </c>
      <c r="S56" s="1">
        <v>0.64</v>
      </c>
      <c r="T56" s="1">
        <v>5.0000000000000001E-3</v>
      </c>
      <c r="U56" s="1">
        <v>8.0000000000000002E-3</v>
      </c>
      <c r="V56" s="1">
        <v>2E-3</v>
      </c>
      <c r="W56" s="1">
        <v>4.0000000000000001E-3</v>
      </c>
      <c r="X56" s="1">
        <v>0.02</v>
      </c>
      <c r="Y56" s="1">
        <v>7.0000000000000001E-3</v>
      </c>
      <c r="Z56" s="1">
        <v>2E-3</v>
      </c>
      <c r="AA56" s="1">
        <v>8.0000000000000002E-3</v>
      </c>
      <c r="AB56" s="1" t="s">
        <v>49</v>
      </c>
      <c r="AC56" s="1">
        <v>3.0000000000000001E-3</v>
      </c>
      <c r="AD56" s="1"/>
      <c r="AE56" s="1" t="s">
        <v>50</v>
      </c>
      <c r="AF56" s="1">
        <v>4.0000000000000002E-4</v>
      </c>
      <c r="AG56" s="1">
        <v>3.0000000000000001E-3</v>
      </c>
      <c r="AH56" s="1">
        <v>6.9999999999999999E-4</v>
      </c>
      <c r="AI56" s="1">
        <v>1.6000000000000001E-3</v>
      </c>
      <c r="AJ56" s="1">
        <v>2.3E-2</v>
      </c>
      <c r="AK56" s="53">
        <v>2E-3</v>
      </c>
      <c r="AL56" s="21"/>
      <c r="AM56" s="74">
        <f t="shared" si="0"/>
        <v>0.70473333333333332</v>
      </c>
      <c r="AN56" s="13">
        <f t="shared" si="1"/>
        <v>0.29120000000000001</v>
      </c>
      <c r="AO56" s="81">
        <f t="shared" si="2"/>
        <v>0.48183968811332922</v>
      </c>
      <c r="AP56" s="85">
        <f t="shared" si="3"/>
        <v>0.37700000000000006</v>
      </c>
      <c r="AQ56" s="21"/>
      <c r="AR56" s="10">
        <v>808</v>
      </c>
      <c r="AS56" s="10">
        <v>957</v>
      </c>
      <c r="AT56" s="10">
        <v>16.7</v>
      </c>
      <c r="AU56" s="10">
        <v>34</v>
      </c>
      <c r="AV56" s="10">
        <v>50</v>
      </c>
      <c r="AW56" s="10">
        <v>73</v>
      </c>
      <c r="AX56" s="10">
        <v>83</v>
      </c>
      <c r="AZ56" s="163">
        <v>106</v>
      </c>
      <c r="BA56" s="11" t="s">
        <v>185</v>
      </c>
      <c r="BB56" s="218" t="s">
        <v>170</v>
      </c>
      <c r="BC56" s="21"/>
      <c r="BG56" s="210">
        <v>27</v>
      </c>
      <c r="BH56" s="1">
        <v>40</v>
      </c>
      <c r="BI56" s="1">
        <v>34</v>
      </c>
      <c r="BJ56" s="1">
        <v>46</v>
      </c>
      <c r="BK56" s="1">
        <v>24</v>
      </c>
      <c r="BL56" s="220">
        <f t="shared" si="16"/>
        <v>34.200000000000003</v>
      </c>
      <c r="BM56" s="210">
        <v>41</v>
      </c>
      <c r="BN56" s="1">
        <v>59</v>
      </c>
      <c r="BO56" s="1">
        <v>58</v>
      </c>
      <c r="BP56" s="1">
        <v>60</v>
      </c>
      <c r="BQ56" s="1">
        <v>34</v>
      </c>
      <c r="BR56" s="220">
        <f t="shared" si="17"/>
        <v>50.4</v>
      </c>
      <c r="BS56" s="210">
        <v>69</v>
      </c>
      <c r="BT56" s="1">
        <v>77</v>
      </c>
      <c r="BU56" s="1">
        <v>73</v>
      </c>
      <c r="BV56" s="1">
        <v>71</v>
      </c>
      <c r="BW56" s="1">
        <v>75</v>
      </c>
      <c r="BX56" s="220">
        <f t="shared" si="18"/>
        <v>73</v>
      </c>
      <c r="BY56" s="210">
        <v>78</v>
      </c>
      <c r="BZ56" s="1">
        <v>85</v>
      </c>
      <c r="CA56" s="1">
        <v>86</v>
      </c>
      <c r="CB56" s="1">
        <v>88</v>
      </c>
      <c r="CC56" s="1">
        <v>80</v>
      </c>
      <c r="CD56" s="220">
        <f t="shared" si="19"/>
        <v>83.4</v>
      </c>
      <c r="CE56" s="210"/>
      <c r="CJ56" s="220"/>
      <c r="CK56" s="210">
        <v>111</v>
      </c>
      <c r="CL56" s="1">
        <v>88</v>
      </c>
      <c r="CM56" s="1">
        <v>111</v>
      </c>
      <c r="CN56" s="1">
        <v>106</v>
      </c>
      <c r="CO56" s="1">
        <v>113</v>
      </c>
      <c r="CP56" s="220">
        <f t="shared" si="20"/>
        <v>105.8</v>
      </c>
    </row>
    <row r="57" spans="1:94" x14ac:dyDescent="0.25">
      <c r="A57" s="210"/>
      <c r="B57" s="41">
        <v>3</v>
      </c>
      <c r="C57" s="1" t="s">
        <v>54</v>
      </c>
      <c r="E57" s="10" t="s">
        <v>41</v>
      </c>
      <c r="F57" s="1" t="s">
        <v>52</v>
      </c>
      <c r="G57" s="1" t="s">
        <v>83</v>
      </c>
      <c r="H57" s="8" t="s">
        <v>43</v>
      </c>
      <c r="I57" s="1">
        <v>7</v>
      </c>
      <c r="J57" s="1">
        <v>6</v>
      </c>
      <c r="K57" s="21"/>
      <c r="L57" s="1">
        <v>0.1</v>
      </c>
      <c r="M57" s="1">
        <v>0.52</v>
      </c>
      <c r="N57" s="1">
        <v>1.45</v>
      </c>
      <c r="O57" s="1">
        <v>1.0999999999999999E-2</v>
      </c>
      <c r="P57" s="15">
        <v>7.0000000000000001E-3</v>
      </c>
      <c r="Q57" s="1">
        <v>0.28999999999999998</v>
      </c>
      <c r="R57" s="1">
        <v>1.46</v>
      </c>
      <c r="S57" s="1">
        <v>0.37</v>
      </c>
      <c r="T57" s="1">
        <v>6.0000000000000001E-3</v>
      </c>
      <c r="U57" s="1">
        <v>8.0000000000000002E-3</v>
      </c>
      <c r="V57" s="1">
        <v>4.0000000000000001E-3</v>
      </c>
      <c r="W57" s="1">
        <v>3.0000000000000001E-3</v>
      </c>
      <c r="X57" s="1">
        <v>0.02</v>
      </c>
      <c r="Y57" s="1">
        <v>8.9999999999999993E-3</v>
      </c>
      <c r="Z57" s="1">
        <v>2E-3</v>
      </c>
      <c r="AA57" s="1">
        <v>3.0000000000000001E-3</v>
      </c>
      <c r="AB57" s="1" t="s">
        <v>49</v>
      </c>
      <c r="AC57" s="1">
        <v>2E-3</v>
      </c>
      <c r="AD57" s="1"/>
      <c r="AE57" s="1" t="s">
        <v>50</v>
      </c>
      <c r="AF57" s="1">
        <v>1.1000000000000001E-3</v>
      </c>
      <c r="AG57" s="1">
        <v>2E-3</v>
      </c>
      <c r="AH57" s="1">
        <v>2.0000000000000001E-4</v>
      </c>
      <c r="AI57" s="1">
        <v>5.0000000000000001E-4</v>
      </c>
      <c r="AJ57" s="1">
        <v>0.02</v>
      </c>
      <c r="AK57" s="53">
        <v>6.0000000000000001E-3</v>
      </c>
      <c r="AL57" s="21"/>
      <c r="AM57" s="74">
        <f t="shared" si="0"/>
        <v>0.57313333333333338</v>
      </c>
      <c r="AN57" s="13">
        <f t="shared" si="1"/>
        <v>0.26023333333333337</v>
      </c>
      <c r="AO57" s="81">
        <f t="shared" si="2"/>
        <v>0.4085546772117431</v>
      </c>
      <c r="AP57" s="85">
        <f t="shared" si="3"/>
        <v>0.33399999999999996</v>
      </c>
      <c r="AQ57" s="21"/>
      <c r="AR57" s="10">
        <v>812</v>
      </c>
      <c r="AS57" s="10">
        <v>965</v>
      </c>
      <c r="AT57" s="10">
        <v>12.2</v>
      </c>
      <c r="AU57" s="10">
        <v>39</v>
      </c>
      <c r="AV57" s="10">
        <v>63</v>
      </c>
      <c r="AW57" s="10">
        <v>73</v>
      </c>
      <c r="AX57" s="10">
        <v>85</v>
      </c>
      <c r="AZ57" s="163">
        <v>116</v>
      </c>
      <c r="BA57" s="11" t="s">
        <v>186</v>
      </c>
      <c r="BB57" s="218" t="s">
        <v>170</v>
      </c>
      <c r="BC57" s="21"/>
      <c r="BG57" s="210">
        <v>40</v>
      </c>
      <c r="BH57" s="1">
        <v>42</v>
      </c>
      <c r="BI57" s="1">
        <v>43</v>
      </c>
      <c r="BJ57" s="1">
        <v>30</v>
      </c>
      <c r="BK57" s="1">
        <v>40</v>
      </c>
      <c r="BL57" s="220">
        <f t="shared" si="16"/>
        <v>39</v>
      </c>
      <c r="BM57" s="210">
        <v>60</v>
      </c>
      <c r="BN57" s="1">
        <v>64</v>
      </c>
      <c r="BO57" s="1">
        <v>60</v>
      </c>
      <c r="BP57" s="1">
        <v>60</v>
      </c>
      <c r="BQ57" s="1">
        <v>72</v>
      </c>
      <c r="BR57" s="220">
        <f t="shared" si="17"/>
        <v>63.2</v>
      </c>
      <c r="BS57" s="210">
        <v>77</v>
      </c>
      <c r="BT57" s="1">
        <v>73</v>
      </c>
      <c r="BU57" s="1">
        <v>77</v>
      </c>
      <c r="BV57" s="1">
        <v>68</v>
      </c>
      <c r="BW57" s="1">
        <v>69</v>
      </c>
      <c r="BX57" s="220">
        <f t="shared" si="18"/>
        <v>72.8</v>
      </c>
      <c r="BY57" s="210">
        <v>96</v>
      </c>
      <c r="BZ57" s="1">
        <v>90</v>
      </c>
      <c r="CA57" s="1">
        <v>78</v>
      </c>
      <c r="CB57" s="1">
        <v>76</v>
      </c>
      <c r="CC57" s="1">
        <v>86</v>
      </c>
      <c r="CD57" s="220">
        <f t="shared" si="19"/>
        <v>85.2</v>
      </c>
      <c r="CE57" s="210"/>
      <c r="CJ57" s="220"/>
      <c r="CK57" s="210">
        <v>101</v>
      </c>
      <c r="CL57" s="1">
        <v>110</v>
      </c>
      <c r="CM57" s="1">
        <v>113</v>
      </c>
      <c r="CN57" s="1">
        <v>132</v>
      </c>
      <c r="CO57" s="1">
        <v>126</v>
      </c>
      <c r="CP57" s="220">
        <f t="shared" si="20"/>
        <v>116.4</v>
      </c>
    </row>
    <row r="58" spans="1:94" x14ac:dyDescent="0.25">
      <c r="A58" s="210"/>
      <c r="B58" s="41">
        <v>4</v>
      </c>
      <c r="C58" s="1" t="s">
        <v>54</v>
      </c>
      <c r="E58" s="10" t="s">
        <v>41</v>
      </c>
      <c r="F58" s="1" t="s">
        <v>52</v>
      </c>
      <c r="G58" s="1" t="s">
        <v>83</v>
      </c>
      <c r="H58" s="8" t="s">
        <v>43</v>
      </c>
      <c r="I58" s="1">
        <v>5</v>
      </c>
      <c r="J58" s="1">
        <v>12</v>
      </c>
      <c r="K58" s="21"/>
      <c r="L58" s="1">
        <v>0.1</v>
      </c>
      <c r="M58" s="1">
        <v>0.54</v>
      </c>
      <c r="N58" s="1">
        <v>1.54</v>
      </c>
      <c r="O58" s="1">
        <v>0.01</v>
      </c>
      <c r="P58" s="15">
        <v>7.0000000000000001E-3</v>
      </c>
      <c r="Q58" s="1">
        <v>0.28999999999999998</v>
      </c>
      <c r="R58" s="1">
        <v>1.57</v>
      </c>
      <c r="S58" s="1">
        <v>0.38</v>
      </c>
      <c r="T58" s="1">
        <v>6.0000000000000001E-3</v>
      </c>
      <c r="U58" s="1">
        <v>7.0000000000000001E-3</v>
      </c>
      <c r="V58" s="1">
        <v>4.0000000000000001E-3</v>
      </c>
      <c r="W58" s="1">
        <v>4.0000000000000001E-3</v>
      </c>
      <c r="X58" s="1">
        <v>0.03</v>
      </c>
      <c r="Y58" s="1">
        <v>7.0000000000000001E-3</v>
      </c>
      <c r="Z58" s="1">
        <v>2E-3</v>
      </c>
      <c r="AA58" s="1">
        <v>3.0000000000000001E-3</v>
      </c>
      <c r="AB58" s="1" t="s">
        <v>49</v>
      </c>
      <c r="AC58" s="1">
        <v>2E-3</v>
      </c>
      <c r="AD58" s="1"/>
      <c r="AE58" s="1" t="s">
        <v>50</v>
      </c>
      <c r="AF58" s="1">
        <v>8.9999999999999998E-4</v>
      </c>
      <c r="AG58" s="1">
        <v>3.0000000000000001E-3</v>
      </c>
      <c r="AH58" s="1">
        <v>2.0000000000000001E-4</v>
      </c>
      <c r="AI58" s="1">
        <v>5.0000000000000001E-4</v>
      </c>
      <c r="AJ58" s="1">
        <v>2.8000000000000001E-2</v>
      </c>
      <c r="AK58" s="53">
        <v>5.0000000000000001E-3</v>
      </c>
      <c r="AL58" s="21"/>
      <c r="AM58" s="74">
        <f t="shared" si="0"/>
        <v>0.59813333333333341</v>
      </c>
      <c r="AN58" s="13">
        <f t="shared" si="1"/>
        <v>0.26740000000000003</v>
      </c>
      <c r="AO58" s="81">
        <f t="shared" si="2"/>
        <v>0.42440598599009904</v>
      </c>
      <c r="AP58" s="85">
        <f t="shared" si="3"/>
        <v>0.34725</v>
      </c>
      <c r="AQ58" s="21"/>
      <c r="AR58" s="10">
        <v>705</v>
      </c>
      <c r="AS58" s="10">
        <v>883</v>
      </c>
      <c r="AT58" s="10">
        <v>15.5</v>
      </c>
      <c r="AU58" s="10">
        <v>15</v>
      </c>
      <c r="AV58" s="10">
        <v>28</v>
      </c>
      <c r="AW58" s="10">
        <v>51</v>
      </c>
      <c r="AX58" s="10">
        <v>90</v>
      </c>
      <c r="AZ58" s="163">
        <v>130</v>
      </c>
      <c r="BA58" s="11" t="s">
        <v>187</v>
      </c>
      <c r="BB58" s="218" t="s">
        <v>170</v>
      </c>
      <c r="BC58" s="21"/>
      <c r="BG58" s="210">
        <v>15</v>
      </c>
      <c r="BH58" s="1">
        <v>14</v>
      </c>
      <c r="BI58" s="1">
        <v>18</v>
      </c>
      <c r="BJ58" s="1">
        <v>16</v>
      </c>
      <c r="BK58" s="1">
        <v>13</v>
      </c>
      <c r="BL58" s="220">
        <f t="shared" si="16"/>
        <v>15.2</v>
      </c>
      <c r="BM58" s="210">
        <v>31</v>
      </c>
      <c r="BN58" s="1">
        <v>18</v>
      </c>
      <c r="BO58" s="1">
        <v>34</v>
      </c>
      <c r="BP58" s="1">
        <v>20</v>
      </c>
      <c r="BQ58" s="1">
        <v>37</v>
      </c>
      <c r="BR58" s="220">
        <f t="shared" si="17"/>
        <v>28</v>
      </c>
      <c r="BS58" s="210">
        <v>49</v>
      </c>
      <c r="BT58" s="1">
        <v>42</v>
      </c>
      <c r="BU58" s="1">
        <v>47</v>
      </c>
      <c r="BV58" s="1">
        <v>39</v>
      </c>
      <c r="BW58" s="1">
        <v>81</v>
      </c>
      <c r="BX58" s="220">
        <f t="shared" si="18"/>
        <v>51.6</v>
      </c>
      <c r="BY58" s="210">
        <v>91</v>
      </c>
      <c r="BZ58" s="1">
        <v>105</v>
      </c>
      <c r="CA58" s="1">
        <v>90</v>
      </c>
      <c r="CB58" s="1">
        <v>83</v>
      </c>
      <c r="CC58" s="1">
        <v>82</v>
      </c>
      <c r="CD58" s="220">
        <f t="shared" si="19"/>
        <v>90.2</v>
      </c>
      <c r="CE58" s="210"/>
      <c r="CJ58" s="220"/>
      <c r="CK58" s="210">
        <v>122</v>
      </c>
      <c r="CL58" s="1">
        <v>134</v>
      </c>
      <c r="CM58" s="1">
        <v>122</v>
      </c>
      <c r="CN58" s="1">
        <v>137</v>
      </c>
      <c r="CO58" s="1">
        <v>134</v>
      </c>
      <c r="CP58" s="220">
        <f t="shared" si="20"/>
        <v>129.80000000000001</v>
      </c>
    </row>
    <row r="59" spans="1:94" x14ac:dyDescent="0.25">
      <c r="A59" s="210"/>
      <c r="B59" s="41">
        <v>5</v>
      </c>
      <c r="C59" s="1" t="s">
        <v>54</v>
      </c>
      <c r="E59" s="10" t="s">
        <v>42</v>
      </c>
      <c r="F59" s="1" t="s">
        <v>57</v>
      </c>
      <c r="G59" s="1" t="s">
        <v>83</v>
      </c>
      <c r="H59" s="8" t="s">
        <v>43</v>
      </c>
      <c r="I59" s="1">
        <v>7</v>
      </c>
      <c r="J59" s="1">
        <v>7</v>
      </c>
      <c r="K59" s="21"/>
      <c r="L59" s="1">
        <v>9.2999999999999999E-2</v>
      </c>
      <c r="M59" s="1">
        <v>0.68</v>
      </c>
      <c r="N59" s="1">
        <v>1.57</v>
      </c>
      <c r="O59" s="1">
        <v>4.0000000000000001E-3</v>
      </c>
      <c r="P59" s="15">
        <v>3.0000000000000001E-3</v>
      </c>
      <c r="Q59" s="1">
        <v>0.38</v>
      </c>
      <c r="R59" s="1">
        <v>2</v>
      </c>
      <c r="S59" s="1">
        <v>0.55000000000000004</v>
      </c>
      <c r="T59" s="1">
        <v>7.0000000000000001E-3</v>
      </c>
      <c r="U59" s="1">
        <v>8.9999999999999993E-3</v>
      </c>
      <c r="V59" s="1">
        <v>0.01</v>
      </c>
      <c r="W59" s="1">
        <v>6.0000000000000001E-3</v>
      </c>
      <c r="X59" s="1">
        <v>0.03</v>
      </c>
      <c r="Y59" s="1">
        <v>1.0999999999999999E-2</v>
      </c>
      <c r="Z59" s="1">
        <v>4.0000000000000001E-3</v>
      </c>
      <c r="AA59" s="1">
        <v>2.4E-2</v>
      </c>
      <c r="AB59" s="1" t="s">
        <v>49</v>
      </c>
      <c r="AC59" s="1">
        <v>3.0000000000000001E-3</v>
      </c>
      <c r="AD59" s="1"/>
      <c r="AE59" s="1" t="s">
        <v>50</v>
      </c>
      <c r="AF59" s="1">
        <v>6.9999999999999999E-4</v>
      </c>
      <c r="AG59" s="1">
        <v>4.0000000000000001E-3</v>
      </c>
      <c r="AH59" s="1">
        <v>1E-4</v>
      </c>
      <c r="AI59" s="1">
        <v>5.0000000000000001E-4</v>
      </c>
      <c r="AJ59" s="1">
        <v>2.3E-2</v>
      </c>
      <c r="AK59" s="53">
        <v>8.0000000000000002E-3</v>
      </c>
      <c r="AL59" s="21"/>
      <c r="AM59" s="74">
        <f t="shared" si="0"/>
        <v>0.67799999999999994</v>
      </c>
      <c r="AN59" s="13">
        <f t="shared" si="1"/>
        <v>0.28916666666666663</v>
      </c>
      <c r="AO59" s="81">
        <f t="shared" si="2"/>
        <v>0.45726884844207549</v>
      </c>
      <c r="AP59" s="85">
        <f t="shared" si="3"/>
        <v>0.3755</v>
      </c>
      <c r="AQ59" s="21"/>
      <c r="AR59" s="10">
        <v>932</v>
      </c>
      <c r="AS59" s="10">
        <v>1071</v>
      </c>
      <c r="AT59" s="10">
        <v>15.7</v>
      </c>
      <c r="AU59" s="10">
        <v>18</v>
      </c>
      <c r="AV59" s="10">
        <v>31</v>
      </c>
      <c r="AW59" s="10">
        <v>34</v>
      </c>
      <c r="AX59" s="10">
        <v>57</v>
      </c>
      <c r="AZ59" s="10">
        <v>89</v>
      </c>
      <c r="BA59" s="219" t="s">
        <v>188</v>
      </c>
      <c r="BB59" s="218" t="s">
        <v>170</v>
      </c>
      <c r="BC59" s="21"/>
      <c r="BG59" s="210">
        <v>15</v>
      </c>
      <c r="BH59" s="1">
        <v>14</v>
      </c>
      <c r="BI59" s="1">
        <v>26</v>
      </c>
      <c r="BJ59" s="1">
        <v>22</v>
      </c>
      <c r="BK59" s="1">
        <v>13</v>
      </c>
      <c r="BL59" s="220">
        <f t="shared" si="16"/>
        <v>18</v>
      </c>
      <c r="BM59" s="210">
        <v>16</v>
      </c>
      <c r="BN59" s="1">
        <v>35</v>
      </c>
      <c r="BO59" s="1">
        <v>39</v>
      </c>
      <c r="BP59" s="1">
        <v>34</v>
      </c>
      <c r="BQ59" s="1">
        <v>32</v>
      </c>
      <c r="BR59" s="220">
        <f t="shared" si="17"/>
        <v>31.2</v>
      </c>
      <c r="BS59" s="210">
        <v>23</v>
      </c>
      <c r="BT59" s="1">
        <v>24</v>
      </c>
      <c r="BU59" s="1">
        <v>38</v>
      </c>
      <c r="BV59" s="1">
        <v>36</v>
      </c>
      <c r="BW59" s="1">
        <v>50</v>
      </c>
      <c r="BX59" s="220">
        <f t="shared" si="18"/>
        <v>34.200000000000003</v>
      </c>
      <c r="BY59" s="210">
        <v>61</v>
      </c>
      <c r="BZ59" s="1">
        <v>62</v>
      </c>
      <c r="CA59" s="1">
        <v>35</v>
      </c>
      <c r="CB59" s="1">
        <v>63</v>
      </c>
      <c r="CC59" s="1">
        <v>62</v>
      </c>
      <c r="CD59" s="220">
        <f t="shared" si="19"/>
        <v>56.6</v>
      </c>
      <c r="CE59" s="210"/>
      <c r="CJ59" s="220"/>
      <c r="CK59" s="210">
        <v>89</v>
      </c>
      <c r="CL59" s="1">
        <v>89</v>
      </c>
      <c r="CM59" s="1">
        <v>89</v>
      </c>
      <c r="CN59" s="1">
        <v>85</v>
      </c>
      <c r="CO59" s="1">
        <v>91</v>
      </c>
      <c r="CP59" s="220">
        <f t="shared" si="20"/>
        <v>88.6</v>
      </c>
    </row>
    <row r="60" spans="1:94" x14ac:dyDescent="0.25">
      <c r="A60" s="210"/>
      <c r="B60" s="41">
        <v>6</v>
      </c>
      <c r="C60" s="1" t="s">
        <v>54</v>
      </c>
      <c r="E60" s="10" t="s">
        <v>42</v>
      </c>
      <c r="F60" s="1" t="s">
        <v>57</v>
      </c>
      <c r="G60" s="1" t="s">
        <v>83</v>
      </c>
      <c r="H60" s="8" t="s">
        <v>43</v>
      </c>
      <c r="I60" s="1">
        <v>5</v>
      </c>
      <c r="J60" s="1">
        <v>11</v>
      </c>
      <c r="K60" s="21"/>
      <c r="L60" s="186" t="s">
        <v>80</v>
      </c>
      <c r="M60" s="187"/>
      <c r="N60" s="187"/>
      <c r="AK60" s="46"/>
      <c r="AL60" s="21"/>
      <c r="AM60" s="74"/>
      <c r="AN60" s="13"/>
      <c r="AO60" s="81"/>
      <c r="AP60" s="85"/>
      <c r="AQ60" s="21"/>
      <c r="AR60" s="10">
        <v>880</v>
      </c>
      <c r="AS60" s="10">
        <v>1055</v>
      </c>
      <c r="AT60" s="10">
        <v>15.5</v>
      </c>
      <c r="AU60" s="10">
        <v>18</v>
      </c>
      <c r="AV60" s="10">
        <v>38</v>
      </c>
      <c r="AW60" s="10">
        <v>41</v>
      </c>
      <c r="AX60" s="10">
        <v>59</v>
      </c>
      <c r="AZ60" s="10">
        <v>103</v>
      </c>
      <c r="BA60" s="11" t="s">
        <v>189</v>
      </c>
      <c r="BB60" s="218" t="s">
        <v>170</v>
      </c>
      <c r="BC60" s="46"/>
      <c r="BG60" s="210">
        <v>21</v>
      </c>
      <c r="BH60" s="1">
        <v>18</v>
      </c>
      <c r="BI60" s="1">
        <v>17</v>
      </c>
      <c r="BJ60" s="1">
        <v>21</v>
      </c>
      <c r="BK60" s="1">
        <v>14</v>
      </c>
      <c r="BL60" s="220">
        <f t="shared" si="16"/>
        <v>18.2</v>
      </c>
      <c r="BM60" s="210">
        <v>40</v>
      </c>
      <c r="BN60" s="1">
        <v>35</v>
      </c>
      <c r="BO60" s="1">
        <v>36</v>
      </c>
      <c r="BP60" s="1">
        <v>44</v>
      </c>
      <c r="BQ60" s="1">
        <v>35</v>
      </c>
      <c r="BR60" s="220">
        <f t="shared" si="17"/>
        <v>38</v>
      </c>
      <c r="BS60" s="210">
        <v>45</v>
      </c>
      <c r="BT60" s="1">
        <v>39</v>
      </c>
      <c r="BU60" s="1">
        <v>46</v>
      </c>
      <c r="BV60" s="1">
        <v>32</v>
      </c>
      <c r="BW60" s="1">
        <v>42</v>
      </c>
      <c r="BX60" s="220">
        <f t="shared" si="18"/>
        <v>40.799999999999997</v>
      </c>
      <c r="BY60" s="210">
        <v>64</v>
      </c>
      <c r="BZ60" s="1">
        <v>56</v>
      </c>
      <c r="CA60" s="1">
        <v>61</v>
      </c>
      <c r="CB60" s="1">
        <v>46</v>
      </c>
      <c r="CC60" s="1">
        <v>66</v>
      </c>
      <c r="CD60" s="220">
        <f t="shared" si="19"/>
        <v>58.6</v>
      </c>
      <c r="CE60" s="210"/>
      <c r="CJ60" s="220"/>
      <c r="CK60" s="210">
        <v>114</v>
      </c>
      <c r="CL60" s="1">
        <v>100</v>
      </c>
      <c r="CM60" s="1">
        <v>95</v>
      </c>
      <c r="CN60" s="1">
        <v>105</v>
      </c>
      <c r="CO60" s="1">
        <v>99</v>
      </c>
      <c r="CP60" s="220">
        <f t="shared" si="20"/>
        <v>102.6</v>
      </c>
    </row>
    <row r="61" spans="1:94" x14ac:dyDescent="0.25">
      <c r="A61" s="210"/>
      <c r="B61" s="41">
        <v>7</v>
      </c>
      <c r="C61" s="1" t="s">
        <v>54</v>
      </c>
      <c r="E61" s="10" t="s">
        <v>42</v>
      </c>
      <c r="F61" s="1" t="s">
        <v>53</v>
      </c>
      <c r="G61" s="1" t="s">
        <v>83</v>
      </c>
      <c r="H61" s="8" t="s">
        <v>43</v>
      </c>
      <c r="I61" s="1">
        <v>7</v>
      </c>
      <c r="J61" s="1">
        <v>8</v>
      </c>
      <c r="K61" s="22"/>
      <c r="L61" s="19" t="s">
        <v>78</v>
      </c>
      <c r="M61" s="57"/>
      <c r="N61" s="57"/>
      <c r="O61" s="57"/>
      <c r="AK61" s="46"/>
      <c r="AL61" s="21"/>
      <c r="AM61" s="74"/>
      <c r="AN61" s="13"/>
      <c r="AO61" s="81"/>
      <c r="AP61" s="85"/>
      <c r="AQ61" s="21"/>
      <c r="AR61" s="10">
        <v>958</v>
      </c>
      <c r="AS61" s="10">
        <v>1090</v>
      </c>
      <c r="AT61" s="10">
        <v>12.8</v>
      </c>
      <c r="AU61" s="10">
        <v>19</v>
      </c>
      <c r="AV61" s="10">
        <v>24</v>
      </c>
      <c r="AW61" s="10">
        <v>31</v>
      </c>
      <c r="AX61" s="10">
        <v>39</v>
      </c>
      <c r="AZ61" s="10">
        <v>64</v>
      </c>
      <c r="BA61" s="11" t="s">
        <v>241</v>
      </c>
      <c r="BB61" s="218" t="s">
        <v>170</v>
      </c>
      <c r="BC61" s="21"/>
      <c r="BG61" s="210">
        <v>25</v>
      </c>
      <c r="BH61" s="1">
        <v>18</v>
      </c>
      <c r="BI61" s="1">
        <v>9</v>
      </c>
      <c r="BJ61" s="1">
        <v>23</v>
      </c>
      <c r="BK61" s="1">
        <v>19</v>
      </c>
      <c r="BL61" s="220">
        <f t="shared" si="16"/>
        <v>18.8</v>
      </c>
      <c r="BM61" s="210">
        <v>27</v>
      </c>
      <c r="BN61" s="1">
        <v>24</v>
      </c>
      <c r="BO61" s="1">
        <v>26</v>
      </c>
      <c r="BP61" s="1">
        <v>22</v>
      </c>
      <c r="BQ61" s="1">
        <v>19</v>
      </c>
      <c r="BR61" s="220">
        <f t="shared" si="17"/>
        <v>23.6</v>
      </c>
      <c r="BS61" s="210">
        <v>31</v>
      </c>
      <c r="BT61" s="1">
        <v>32</v>
      </c>
      <c r="BU61" s="1">
        <v>28</v>
      </c>
      <c r="BV61" s="1">
        <v>31</v>
      </c>
      <c r="BW61" s="1">
        <v>32</v>
      </c>
      <c r="BX61" s="220">
        <f t="shared" si="18"/>
        <v>30.8</v>
      </c>
      <c r="BY61" s="210">
        <v>50</v>
      </c>
      <c r="BZ61" s="1">
        <v>49</v>
      </c>
      <c r="CA61" s="1">
        <v>37</v>
      </c>
      <c r="CB61" s="1">
        <v>29</v>
      </c>
      <c r="CC61" s="1">
        <v>32</v>
      </c>
      <c r="CD61" s="220">
        <f t="shared" si="19"/>
        <v>39.4</v>
      </c>
      <c r="CE61" s="210"/>
      <c r="CJ61" s="220"/>
      <c r="CK61" s="210">
        <v>71</v>
      </c>
      <c r="CL61" s="1">
        <v>56</v>
      </c>
      <c r="CM61" s="1">
        <v>63</v>
      </c>
      <c r="CN61" s="1">
        <v>62</v>
      </c>
      <c r="CO61" s="1">
        <v>70</v>
      </c>
      <c r="CP61" s="220">
        <f t="shared" si="20"/>
        <v>64.400000000000006</v>
      </c>
    </row>
    <row r="62" spans="1:94" ht="15.75" thickBot="1" x14ac:dyDescent="0.3">
      <c r="A62" s="210"/>
      <c r="B62" s="41">
        <v>8</v>
      </c>
      <c r="C62" s="1" t="s">
        <v>54</v>
      </c>
      <c r="E62" s="10" t="s">
        <v>42</v>
      </c>
      <c r="F62" s="1" t="s">
        <v>53</v>
      </c>
      <c r="G62" s="1" t="s">
        <v>83</v>
      </c>
      <c r="H62" s="8" t="s">
        <v>43</v>
      </c>
      <c r="I62" s="1">
        <v>5</v>
      </c>
      <c r="J62" s="1">
        <v>13</v>
      </c>
      <c r="K62" s="21"/>
      <c r="L62" s="186" t="s">
        <v>80</v>
      </c>
      <c r="M62" s="187"/>
      <c r="N62" s="187"/>
      <c r="AK62" s="46"/>
      <c r="AL62" s="21"/>
      <c r="AM62" s="74"/>
      <c r="AN62" s="13"/>
      <c r="AO62" s="81"/>
      <c r="AP62" s="85"/>
      <c r="AQ62" s="21"/>
      <c r="AR62" s="10">
        <v>886</v>
      </c>
      <c r="AS62" s="10">
        <v>1063</v>
      </c>
      <c r="AT62" s="10">
        <v>14.1</v>
      </c>
      <c r="AU62" s="10" t="s">
        <v>242</v>
      </c>
      <c r="AV62" s="10">
        <v>25</v>
      </c>
      <c r="AW62" s="10">
        <v>29</v>
      </c>
      <c r="AX62" s="10">
        <v>42</v>
      </c>
      <c r="AZ62" s="10" t="s">
        <v>242</v>
      </c>
      <c r="BA62" s="11" t="s">
        <v>243</v>
      </c>
      <c r="BB62" s="218" t="s">
        <v>190</v>
      </c>
      <c r="BC62" s="46"/>
      <c r="BG62" s="210"/>
      <c r="BH62" s="1"/>
      <c r="BI62" s="1"/>
      <c r="BJ62" s="1"/>
      <c r="BK62" s="1"/>
      <c r="BL62" s="220"/>
      <c r="BM62" s="210">
        <v>25</v>
      </c>
      <c r="BN62" s="1">
        <v>30</v>
      </c>
      <c r="BO62" s="1">
        <v>24</v>
      </c>
      <c r="BP62" s="1">
        <v>28</v>
      </c>
      <c r="BQ62" s="1">
        <v>18</v>
      </c>
      <c r="BR62" s="220">
        <f t="shared" si="17"/>
        <v>25</v>
      </c>
      <c r="BS62" s="210">
        <v>31</v>
      </c>
      <c r="BT62" s="1">
        <v>32</v>
      </c>
      <c r="BU62" s="1">
        <v>30</v>
      </c>
      <c r="BV62" s="1">
        <v>25</v>
      </c>
      <c r="BW62" s="1">
        <v>28</v>
      </c>
      <c r="BX62" s="220">
        <f t="shared" si="18"/>
        <v>29.2</v>
      </c>
      <c r="BY62" s="210">
        <v>49</v>
      </c>
      <c r="BZ62" s="1">
        <v>37</v>
      </c>
      <c r="CA62" s="1">
        <v>39</v>
      </c>
      <c r="CB62" s="1">
        <v>39</v>
      </c>
      <c r="CC62" s="1">
        <v>45</v>
      </c>
      <c r="CD62" s="220">
        <f t="shared" si="19"/>
        <v>41.8</v>
      </c>
      <c r="CE62" s="210"/>
      <c r="CJ62" s="220"/>
      <c r="CK62" s="210"/>
      <c r="CL62" s="1"/>
      <c r="CM62" s="1"/>
      <c r="CN62" s="1"/>
      <c r="CO62" s="1"/>
      <c r="CP62" s="220"/>
    </row>
    <row r="63" spans="1:94" ht="28.5" customHeight="1" thickBot="1" x14ac:dyDescent="0.3">
      <c r="A63" s="210"/>
      <c r="B63" s="41"/>
      <c r="E63" s="42"/>
      <c r="H63" s="8"/>
      <c r="K63" s="24"/>
      <c r="L63" s="15"/>
      <c r="M63" s="12"/>
      <c r="N63" s="12"/>
      <c r="O63" s="1"/>
      <c r="P63" s="1"/>
      <c r="Q63" s="1"/>
      <c r="R63" s="45"/>
      <c r="S63" s="1"/>
      <c r="T63" s="1"/>
      <c r="U63" s="1"/>
      <c r="V63" s="1"/>
      <c r="W63" s="1"/>
      <c r="X63" s="1"/>
      <c r="Y63" s="1"/>
      <c r="Z63" s="15"/>
      <c r="AA63" s="15"/>
      <c r="AB63" s="1"/>
      <c r="AC63" s="1"/>
      <c r="AD63" s="1"/>
      <c r="AE63" s="1"/>
      <c r="AF63" s="1"/>
      <c r="AG63" s="43"/>
      <c r="AH63" s="1"/>
      <c r="AI63" s="1"/>
      <c r="AJ63" s="15"/>
      <c r="AK63" s="44"/>
      <c r="AL63" s="21"/>
      <c r="AM63" s="74"/>
      <c r="AN63" s="13"/>
      <c r="AO63" s="81"/>
      <c r="AP63" s="85"/>
      <c r="AQ63" s="21"/>
      <c r="AR63" s="210"/>
      <c r="BB63" s="218"/>
      <c r="BC63" s="21"/>
      <c r="BG63" s="210"/>
      <c r="BL63" s="220"/>
      <c r="BM63" s="210"/>
      <c r="BR63" s="220"/>
      <c r="BS63" s="210"/>
      <c r="BX63" s="220"/>
      <c r="BY63" s="210"/>
      <c r="CD63" s="220"/>
      <c r="CE63" s="210"/>
      <c r="CJ63" s="220"/>
      <c r="CK63" s="210"/>
      <c r="CP63" s="220"/>
    </row>
    <row r="64" spans="1:94" ht="30" customHeight="1" x14ac:dyDescent="0.25">
      <c r="A64" s="210"/>
      <c r="B64" s="55">
        <v>9</v>
      </c>
      <c r="C64" s="56" t="s">
        <v>76</v>
      </c>
      <c r="D64" s="56"/>
      <c r="E64" s="17" t="s">
        <v>41</v>
      </c>
      <c r="F64" s="56" t="s">
        <v>51</v>
      </c>
      <c r="G64" s="56" t="s">
        <v>83</v>
      </c>
      <c r="H64" s="18" t="s">
        <v>152</v>
      </c>
      <c r="I64" s="56">
        <v>1</v>
      </c>
      <c r="J64" s="56"/>
      <c r="K64" s="21"/>
      <c r="AK64" s="46"/>
      <c r="AL64" s="21"/>
      <c r="AM64" s="74">
        <f t="shared" si="0"/>
        <v>0</v>
      </c>
      <c r="AN64" s="13">
        <f t="shared" si="1"/>
        <v>0</v>
      </c>
      <c r="AO64" s="81">
        <f t="shared" si="2"/>
        <v>0</v>
      </c>
      <c r="AP64" s="85">
        <f t="shared" si="3"/>
        <v>0</v>
      </c>
      <c r="AQ64" s="21"/>
      <c r="AR64" s="210"/>
      <c r="BB64" s="218"/>
      <c r="BC64" s="21"/>
      <c r="BG64" s="210"/>
      <c r="BL64" s="220">
        <f t="shared" si="16"/>
        <v>0</v>
      </c>
      <c r="BM64" s="210"/>
      <c r="BR64" s="220">
        <f t="shared" si="17"/>
        <v>0</v>
      </c>
      <c r="BS64" s="210"/>
      <c r="BX64" s="220">
        <f t="shared" si="18"/>
        <v>0</v>
      </c>
      <c r="BY64" s="210"/>
      <c r="CD64" s="220">
        <f t="shared" si="19"/>
        <v>0</v>
      </c>
      <c r="CE64" s="210"/>
      <c r="CJ64" s="220"/>
      <c r="CK64" s="210"/>
      <c r="CP64" s="220">
        <f t="shared" si="20"/>
        <v>0</v>
      </c>
    </row>
    <row r="65" spans="1:94" ht="34.5" customHeight="1" x14ac:dyDescent="0.25">
      <c r="A65" s="210"/>
      <c r="B65" s="55">
        <v>10</v>
      </c>
      <c r="C65" s="56" t="s">
        <v>76</v>
      </c>
      <c r="D65" s="56"/>
      <c r="E65" s="17" t="s">
        <v>41</v>
      </c>
      <c r="F65" s="56" t="s">
        <v>51</v>
      </c>
      <c r="G65" s="56" t="s">
        <v>83</v>
      </c>
      <c r="H65" s="18" t="s">
        <v>152</v>
      </c>
      <c r="I65" s="56">
        <v>1</v>
      </c>
      <c r="J65" s="56"/>
      <c r="K65" s="21"/>
      <c r="AK65" s="46"/>
      <c r="AL65" s="21"/>
      <c r="AM65" s="74">
        <f t="shared" si="0"/>
        <v>0</v>
      </c>
      <c r="AN65" s="13">
        <f t="shared" si="1"/>
        <v>0</v>
      </c>
      <c r="AO65" s="81">
        <f t="shared" si="2"/>
        <v>0</v>
      </c>
      <c r="AP65" s="85">
        <f t="shared" si="3"/>
        <v>0</v>
      </c>
      <c r="AQ65" s="21"/>
      <c r="AR65" s="210"/>
      <c r="BB65" s="218"/>
      <c r="BC65" s="21"/>
      <c r="BG65" s="210"/>
      <c r="BL65" s="220">
        <f t="shared" si="16"/>
        <v>0</v>
      </c>
      <c r="BM65" s="210"/>
      <c r="BR65" s="220">
        <f t="shared" si="17"/>
        <v>0</v>
      </c>
      <c r="BS65" s="210"/>
      <c r="BX65" s="220">
        <f t="shared" si="18"/>
        <v>0</v>
      </c>
      <c r="BY65" s="210"/>
      <c r="CD65" s="220">
        <f t="shared" si="19"/>
        <v>0</v>
      </c>
      <c r="CE65" s="210"/>
      <c r="CJ65" s="220"/>
      <c r="CK65" s="210"/>
      <c r="CP65" s="220">
        <f t="shared" si="20"/>
        <v>0</v>
      </c>
    </row>
    <row r="66" spans="1:94" ht="33" customHeight="1" x14ac:dyDescent="0.25">
      <c r="A66" s="210"/>
      <c r="B66" s="41">
        <v>11</v>
      </c>
      <c r="C66" s="1" t="s">
        <v>76</v>
      </c>
      <c r="E66" s="10" t="s">
        <v>41</v>
      </c>
      <c r="F66" s="1" t="s">
        <v>52</v>
      </c>
      <c r="G66" s="1" t="s">
        <v>83</v>
      </c>
      <c r="H66" s="8" t="s">
        <v>152</v>
      </c>
      <c r="I66" s="1">
        <v>1</v>
      </c>
      <c r="J66" s="243">
        <v>12</v>
      </c>
      <c r="K66" s="21"/>
      <c r="AK66" s="46"/>
      <c r="AL66" s="21"/>
      <c r="AM66" s="74">
        <f t="shared" si="0"/>
        <v>0</v>
      </c>
      <c r="AN66" s="13">
        <f t="shared" si="1"/>
        <v>0</v>
      </c>
      <c r="AO66" s="81">
        <f t="shared" si="2"/>
        <v>0</v>
      </c>
      <c r="AP66" s="85">
        <f t="shared" si="3"/>
        <v>0</v>
      </c>
      <c r="AQ66" s="21"/>
      <c r="AR66" s="10">
        <v>980</v>
      </c>
      <c r="AS66" s="10">
        <v>1112</v>
      </c>
      <c r="AT66" s="10">
        <v>14</v>
      </c>
      <c r="AU66" s="10">
        <v>53</v>
      </c>
      <c r="AV66" s="10">
        <v>53</v>
      </c>
      <c r="AW66" s="10">
        <v>75</v>
      </c>
      <c r="AX66" s="10">
        <v>114</v>
      </c>
      <c r="AZ66" s="10">
        <v>130</v>
      </c>
      <c r="BA66" s="11" t="s">
        <v>245</v>
      </c>
      <c r="BB66" s="218" t="s">
        <v>170</v>
      </c>
      <c r="BC66" s="21"/>
      <c r="BG66" s="210">
        <v>57</v>
      </c>
      <c r="BH66">
        <v>51</v>
      </c>
      <c r="BI66">
        <v>50</v>
      </c>
      <c r="BJ66">
        <v>55</v>
      </c>
      <c r="BK66">
        <v>51</v>
      </c>
      <c r="BL66" s="220">
        <f t="shared" si="16"/>
        <v>52.8</v>
      </c>
      <c r="BM66" s="210">
        <v>39</v>
      </c>
      <c r="BN66">
        <v>50</v>
      </c>
      <c r="BO66">
        <v>68</v>
      </c>
      <c r="BP66">
        <v>34</v>
      </c>
      <c r="BQ66">
        <v>72</v>
      </c>
      <c r="BR66" s="220">
        <f t="shared" si="17"/>
        <v>52.6</v>
      </c>
      <c r="BS66" s="210">
        <v>79</v>
      </c>
      <c r="BT66">
        <v>77</v>
      </c>
      <c r="BU66">
        <v>69</v>
      </c>
      <c r="BV66">
        <v>65</v>
      </c>
      <c r="BW66">
        <v>86</v>
      </c>
      <c r="BX66" s="220">
        <f t="shared" si="18"/>
        <v>75.2</v>
      </c>
      <c r="BY66" s="210">
        <v>126</v>
      </c>
      <c r="BZ66">
        <v>117</v>
      </c>
      <c r="CA66">
        <v>107</v>
      </c>
      <c r="CB66">
        <v>117</v>
      </c>
      <c r="CC66">
        <v>103</v>
      </c>
      <c r="CD66" s="220">
        <f t="shared" si="19"/>
        <v>114</v>
      </c>
      <c r="CE66" s="210"/>
      <c r="CJ66" s="220"/>
      <c r="CK66" s="210">
        <v>126</v>
      </c>
      <c r="CL66">
        <v>126</v>
      </c>
      <c r="CM66">
        <v>119</v>
      </c>
      <c r="CN66">
        <v>137</v>
      </c>
      <c r="CO66">
        <v>142</v>
      </c>
      <c r="CP66" s="220">
        <f t="shared" si="20"/>
        <v>130</v>
      </c>
    </row>
    <row r="67" spans="1:94" ht="30" customHeight="1" x14ac:dyDescent="0.25">
      <c r="A67" s="210"/>
      <c r="B67" s="55">
        <v>12</v>
      </c>
      <c r="C67" s="56" t="s">
        <v>76</v>
      </c>
      <c r="D67" s="56"/>
      <c r="E67" s="17" t="s">
        <v>41</v>
      </c>
      <c r="F67" s="56" t="s">
        <v>52</v>
      </c>
      <c r="G67" s="56" t="s">
        <v>83</v>
      </c>
      <c r="H67" s="18" t="s">
        <v>152</v>
      </c>
      <c r="I67" s="56">
        <v>1</v>
      </c>
      <c r="J67" s="56"/>
      <c r="K67" s="21"/>
      <c r="AK67" s="46"/>
      <c r="AL67" s="21"/>
      <c r="AM67" s="74">
        <f t="shared" si="0"/>
        <v>0</v>
      </c>
      <c r="AN67" s="13">
        <f t="shared" si="1"/>
        <v>0</v>
      </c>
      <c r="AO67" s="81">
        <f t="shared" si="2"/>
        <v>0</v>
      </c>
      <c r="AP67" s="85">
        <f t="shared" si="3"/>
        <v>0</v>
      </c>
      <c r="AQ67" s="21"/>
      <c r="AR67" s="260"/>
      <c r="AS67" s="10"/>
      <c r="AT67" s="10"/>
      <c r="AU67" s="10"/>
      <c r="AV67" s="10"/>
      <c r="AW67" s="10"/>
      <c r="AX67" s="10"/>
      <c r="AZ67" s="10"/>
      <c r="BA67" s="11" t="s">
        <v>243</v>
      </c>
      <c r="BB67" s="218" t="s">
        <v>170</v>
      </c>
      <c r="BC67" s="21"/>
      <c r="BG67" s="210"/>
      <c r="BL67" s="220">
        <f t="shared" si="16"/>
        <v>0</v>
      </c>
      <c r="BM67" s="210"/>
      <c r="BR67" s="220">
        <f t="shared" si="17"/>
        <v>0</v>
      </c>
      <c r="BS67" s="210"/>
      <c r="BX67" s="220">
        <f t="shared" si="18"/>
        <v>0</v>
      </c>
      <c r="BY67" s="210"/>
      <c r="CD67" s="220">
        <f t="shared" si="19"/>
        <v>0</v>
      </c>
      <c r="CE67" s="210"/>
      <c r="CJ67" s="220"/>
      <c r="CK67" s="210"/>
      <c r="CP67" s="220">
        <f t="shared" si="20"/>
        <v>0</v>
      </c>
    </row>
    <row r="68" spans="1:94" ht="37.5" customHeight="1" x14ac:dyDescent="0.25">
      <c r="A68" s="210"/>
      <c r="B68" s="55">
        <v>13</v>
      </c>
      <c r="C68" s="56" t="s">
        <v>76</v>
      </c>
      <c r="D68" s="56"/>
      <c r="E68" s="17" t="s">
        <v>42</v>
      </c>
      <c r="F68" s="56" t="s">
        <v>53</v>
      </c>
      <c r="G68" s="56" t="s">
        <v>83</v>
      </c>
      <c r="H68" s="18" t="s">
        <v>152</v>
      </c>
      <c r="I68" s="56">
        <v>1</v>
      </c>
      <c r="J68" s="56"/>
      <c r="K68" s="21"/>
      <c r="AK68" s="46"/>
      <c r="AL68" s="21"/>
      <c r="AM68" s="74">
        <f t="shared" si="0"/>
        <v>0</v>
      </c>
      <c r="AN68" s="13">
        <f t="shared" si="1"/>
        <v>0</v>
      </c>
      <c r="AO68" s="81">
        <f t="shared" si="2"/>
        <v>0</v>
      </c>
      <c r="AP68" s="85">
        <f t="shared" si="3"/>
        <v>0</v>
      </c>
      <c r="AQ68" s="21"/>
      <c r="AR68" s="260"/>
      <c r="AS68" s="10"/>
      <c r="AT68" s="10"/>
      <c r="AU68" s="10"/>
      <c r="AV68" s="10"/>
      <c r="AW68" s="10"/>
      <c r="AX68" s="10"/>
      <c r="AZ68" s="10"/>
      <c r="BA68" s="11" t="s">
        <v>243</v>
      </c>
      <c r="BB68" s="218" t="s">
        <v>170</v>
      </c>
      <c r="BC68" s="21"/>
      <c r="BG68" s="210"/>
      <c r="BL68" s="220">
        <f t="shared" si="16"/>
        <v>0</v>
      </c>
      <c r="BM68" s="210"/>
      <c r="BR68" s="220">
        <f t="shared" si="17"/>
        <v>0</v>
      </c>
      <c r="BS68" s="210"/>
      <c r="BX68" s="220">
        <f t="shared" si="18"/>
        <v>0</v>
      </c>
      <c r="BY68" s="210"/>
      <c r="CD68" s="220">
        <f t="shared" si="19"/>
        <v>0</v>
      </c>
      <c r="CE68" s="210"/>
      <c r="CJ68" s="220"/>
      <c r="CK68" s="210"/>
      <c r="CP68" s="220">
        <f t="shared" si="20"/>
        <v>0</v>
      </c>
    </row>
    <row r="69" spans="1:94" ht="44.25" customHeight="1" x14ac:dyDescent="0.25">
      <c r="A69" s="210"/>
      <c r="B69" s="55">
        <v>14</v>
      </c>
      <c r="C69" s="56" t="s">
        <v>76</v>
      </c>
      <c r="D69" s="56"/>
      <c r="E69" s="17" t="s">
        <v>42</v>
      </c>
      <c r="F69" s="56" t="s">
        <v>53</v>
      </c>
      <c r="G69" s="56" t="s">
        <v>83</v>
      </c>
      <c r="H69" s="18" t="s">
        <v>152</v>
      </c>
      <c r="I69" s="56">
        <v>1</v>
      </c>
      <c r="J69" s="56"/>
      <c r="K69" s="21"/>
      <c r="AK69" s="46"/>
      <c r="AL69" s="21"/>
      <c r="AM69" s="74">
        <f t="shared" si="0"/>
        <v>0</v>
      </c>
      <c r="AN69" s="13">
        <f t="shared" si="1"/>
        <v>0</v>
      </c>
      <c r="AO69" s="81">
        <f t="shared" si="2"/>
        <v>0</v>
      </c>
      <c r="AP69" s="85">
        <f t="shared" si="3"/>
        <v>0</v>
      </c>
      <c r="AQ69" s="21"/>
      <c r="AR69" s="260"/>
      <c r="AS69" s="10"/>
      <c r="AT69" s="10"/>
      <c r="AU69" s="10"/>
      <c r="AV69" s="10"/>
      <c r="AW69" s="10"/>
      <c r="AX69" s="10"/>
      <c r="AZ69" s="10"/>
      <c r="BA69" s="11" t="s">
        <v>243</v>
      </c>
      <c r="BB69" s="218" t="s">
        <v>170</v>
      </c>
      <c r="BC69" s="21"/>
      <c r="BG69" s="210"/>
      <c r="BL69" s="220">
        <f t="shared" si="16"/>
        <v>0</v>
      </c>
      <c r="BM69" s="210"/>
      <c r="BR69" s="220">
        <f t="shared" si="17"/>
        <v>0</v>
      </c>
      <c r="BS69" s="210"/>
      <c r="BX69" s="220">
        <f t="shared" si="18"/>
        <v>0</v>
      </c>
      <c r="BY69" s="210"/>
      <c r="CD69" s="220">
        <f t="shared" si="19"/>
        <v>0</v>
      </c>
      <c r="CE69" s="210"/>
      <c r="CJ69" s="220"/>
      <c r="CK69" s="210"/>
      <c r="CP69" s="220">
        <f t="shared" si="20"/>
        <v>0</v>
      </c>
    </row>
    <row r="70" spans="1:94" ht="23.25" customHeight="1" x14ac:dyDescent="0.25">
      <c r="A70" s="210"/>
      <c r="B70" s="41">
        <v>15</v>
      </c>
      <c r="C70" s="1" t="s">
        <v>76</v>
      </c>
      <c r="E70" s="10" t="s">
        <v>42</v>
      </c>
      <c r="F70" s="247" t="s">
        <v>57</v>
      </c>
      <c r="G70" s="1" t="s">
        <v>83</v>
      </c>
      <c r="H70" s="8" t="s">
        <v>152</v>
      </c>
      <c r="I70" s="1">
        <v>1</v>
      </c>
      <c r="J70" s="243">
        <v>12</v>
      </c>
      <c r="K70" s="21"/>
      <c r="AK70" s="46"/>
      <c r="AL70" s="21"/>
      <c r="AM70" s="74">
        <f t="shared" si="0"/>
        <v>0</v>
      </c>
      <c r="AN70" s="13">
        <f t="shared" si="1"/>
        <v>0</v>
      </c>
      <c r="AO70" s="81">
        <f t="shared" si="2"/>
        <v>0</v>
      </c>
      <c r="AP70" s="85">
        <f t="shared" si="3"/>
        <v>0</v>
      </c>
      <c r="AQ70" s="21"/>
      <c r="AR70" s="347" t="s">
        <v>244</v>
      </c>
      <c r="AS70" s="346"/>
      <c r="AT70" s="346"/>
      <c r="AU70" s="10" t="s">
        <v>242</v>
      </c>
      <c r="AV70" s="10">
        <v>39</v>
      </c>
      <c r="AW70" s="10">
        <v>47</v>
      </c>
      <c r="AX70" s="10">
        <v>58</v>
      </c>
      <c r="AZ70" s="10" t="s">
        <v>242</v>
      </c>
      <c r="BA70" s="11" t="s">
        <v>246</v>
      </c>
      <c r="BB70" s="218" t="s">
        <v>170</v>
      </c>
      <c r="BC70" s="21"/>
      <c r="BG70" s="210"/>
      <c r="BL70" s="220">
        <f t="shared" si="16"/>
        <v>0</v>
      </c>
      <c r="BM70" s="210">
        <v>41</v>
      </c>
      <c r="BN70">
        <v>39</v>
      </c>
      <c r="BO70">
        <v>36</v>
      </c>
      <c r="BR70" s="220">
        <f>(BM70+BN70+BO70+BP70+BQ70)/3</f>
        <v>38.666666666666664</v>
      </c>
      <c r="BS70" s="210">
        <v>47</v>
      </c>
      <c r="BT70">
        <v>46</v>
      </c>
      <c r="BU70">
        <v>53</v>
      </c>
      <c r="BV70">
        <v>48</v>
      </c>
      <c r="BW70">
        <v>43</v>
      </c>
      <c r="BX70" s="220">
        <f t="shared" si="18"/>
        <v>47.4</v>
      </c>
      <c r="BY70" s="210">
        <v>54</v>
      </c>
      <c r="BZ70">
        <v>61</v>
      </c>
      <c r="CA70">
        <v>54</v>
      </c>
      <c r="CB70">
        <v>62</v>
      </c>
      <c r="CC70">
        <v>59</v>
      </c>
      <c r="CD70" s="220">
        <f t="shared" si="19"/>
        <v>58</v>
      </c>
      <c r="CE70" s="210"/>
      <c r="CJ70" s="220"/>
      <c r="CK70" s="210"/>
      <c r="CP70" s="220">
        <f t="shared" si="20"/>
        <v>0</v>
      </c>
    </row>
    <row r="71" spans="1:94" ht="39" customHeight="1" x14ac:dyDescent="0.25">
      <c r="A71" s="210"/>
      <c r="B71" s="55">
        <v>16</v>
      </c>
      <c r="C71" s="56" t="s">
        <v>76</v>
      </c>
      <c r="D71" s="56"/>
      <c r="E71" s="17" t="s">
        <v>42</v>
      </c>
      <c r="F71" s="248" t="s">
        <v>57</v>
      </c>
      <c r="G71" s="56" t="s">
        <v>83</v>
      </c>
      <c r="H71" s="18" t="s">
        <v>152</v>
      </c>
      <c r="I71" s="56">
        <v>1</v>
      </c>
      <c r="J71" s="56"/>
      <c r="K71" s="21"/>
      <c r="AK71" s="46"/>
      <c r="AL71" s="21"/>
      <c r="AM71" s="74">
        <f t="shared" ref="AM71:AM92" si="21">L71+N71/6+X71/15+R71/15+Q71/5+S71/5+V71/5</f>
        <v>0</v>
      </c>
      <c r="AN71" s="13">
        <f t="shared" ref="AN71:AN92" si="22">L71+M71/30+N71/20+X71/20+R71/60+Q71/20+S71/15+V71/10+5*AF71</f>
        <v>0</v>
      </c>
      <c r="AO71" s="81">
        <f t="shared" ref="AO71:AO92" si="23">L71+(0.75+0.25*TANH(20*(L71-0.12)))*(M71/24+N71/6+X71/15+R71/20+Q71/5+S71/5+W71/5+V71/5)</f>
        <v>0</v>
      </c>
      <c r="AP71" s="85">
        <f t="shared" ref="AP71:AP92" si="24">L71+N71/10+S71/10+Q71/20+X71/20+R71/40</f>
        <v>0</v>
      </c>
      <c r="AQ71" s="21"/>
      <c r="AR71" s="210"/>
      <c r="BB71" s="218"/>
      <c r="BC71" s="21"/>
      <c r="BG71" s="210"/>
      <c r="BL71" s="220">
        <f t="shared" si="16"/>
        <v>0</v>
      </c>
      <c r="BM71" s="210"/>
      <c r="BR71" s="220">
        <f t="shared" si="17"/>
        <v>0</v>
      </c>
      <c r="BS71" s="210"/>
      <c r="BX71" s="220">
        <f t="shared" si="18"/>
        <v>0</v>
      </c>
      <c r="BY71" s="210"/>
      <c r="CD71" s="220">
        <f t="shared" si="19"/>
        <v>0</v>
      </c>
      <c r="CE71" s="210"/>
      <c r="CJ71" s="220"/>
      <c r="CK71" s="210"/>
      <c r="CP71" s="220">
        <f t="shared" si="20"/>
        <v>0</v>
      </c>
    </row>
    <row r="72" spans="1:94" ht="46.5" customHeight="1" x14ac:dyDescent="0.25">
      <c r="A72" s="210"/>
      <c r="B72" s="41"/>
      <c r="E72" s="42"/>
      <c r="F72" s="247"/>
      <c r="K72" s="21"/>
      <c r="L72" s="15"/>
      <c r="M72" s="12"/>
      <c r="N72" s="12"/>
      <c r="O72" s="1"/>
      <c r="P72" s="1"/>
      <c r="Q72" s="1"/>
      <c r="R72" s="45"/>
      <c r="S72" s="1"/>
      <c r="T72" s="1"/>
      <c r="U72" s="1"/>
      <c r="V72" s="1"/>
      <c r="W72" s="1"/>
      <c r="X72" s="1"/>
      <c r="Y72" s="1"/>
      <c r="Z72" s="15"/>
      <c r="AA72" s="15"/>
      <c r="AB72" s="1"/>
      <c r="AC72" s="1"/>
      <c r="AD72" s="1"/>
      <c r="AE72" s="1"/>
      <c r="AF72" s="1"/>
      <c r="AG72" s="43"/>
      <c r="AH72" s="1"/>
      <c r="AI72" s="1"/>
      <c r="AJ72" s="15"/>
      <c r="AK72" s="44"/>
      <c r="AL72" s="21"/>
      <c r="AM72" s="74"/>
      <c r="AN72" s="13"/>
      <c r="AO72" s="81"/>
      <c r="AP72" s="85"/>
      <c r="AQ72" s="21"/>
      <c r="AR72" s="210"/>
      <c r="BB72" s="218"/>
      <c r="BC72" s="21"/>
      <c r="BG72" s="210"/>
      <c r="BL72" s="220"/>
      <c r="BM72" s="210"/>
      <c r="BR72" s="220"/>
      <c r="BS72" s="210"/>
      <c r="BX72" s="220"/>
      <c r="BY72" s="210"/>
      <c r="CD72" s="220"/>
      <c r="CE72" s="210"/>
      <c r="CJ72" s="220"/>
      <c r="CK72" s="210"/>
      <c r="CP72" s="220"/>
    </row>
    <row r="73" spans="1:94" s="34" customFormat="1" ht="27.75" customHeight="1" x14ac:dyDescent="0.25">
      <c r="A73" s="217"/>
      <c r="B73" s="58" t="s">
        <v>72</v>
      </c>
      <c r="C73" s="31" t="s">
        <v>59</v>
      </c>
      <c r="D73" s="30" t="s">
        <v>61</v>
      </c>
      <c r="E73" s="30" t="s">
        <v>41</v>
      </c>
      <c r="F73" s="249" t="s">
        <v>52</v>
      </c>
      <c r="G73" s="31" t="s">
        <v>83</v>
      </c>
      <c r="H73" s="8" t="s">
        <v>153</v>
      </c>
      <c r="I73" s="1">
        <v>1</v>
      </c>
      <c r="J73" s="31">
        <v>5</v>
      </c>
      <c r="K73" s="32"/>
      <c r="L73" s="30">
        <v>0.12</v>
      </c>
      <c r="M73" s="30">
        <v>0.37</v>
      </c>
      <c r="N73" s="30">
        <v>1.26</v>
      </c>
      <c r="O73" s="30">
        <v>0.01</v>
      </c>
      <c r="P73" s="30">
        <v>2E-3</v>
      </c>
      <c r="Q73" s="30">
        <v>0.3</v>
      </c>
      <c r="R73" s="30">
        <v>0.54</v>
      </c>
      <c r="S73" s="30">
        <v>0.24</v>
      </c>
      <c r="T73" s="30" t="s">
        <v>50</v>
      </c>
      <c r="U73" s="30">
        <v>1.2999999999999999E-2</v>
      </c>
      <c r="V73" s="30">
        <v>0.01</v>
      </c>
      <c r="W73" s="30">
        <v>2E-3</v>
      </c>
      <c r="X73" s="30">
        <v>0.02</v>
      </c>
      <c r="Y73" s="30">
        <v>3.1E-2</v>
      </c>
      <c r="Z73" s="30">
        <v>1E-3</v>
      </c>
      <c r="AA73" s="30">
        <v>7.0000000000000001E-3</v>
      </c>
      <c r="AB73" s="30" t="s">
        <v>49</v>
      </c>
      <c r="AC73" s="30">
        <v>1E-3</v>
      </c>
      <c r="AD73" s="30"/>
      <c r="AE73" s="30" t="s">
        <v>50</v>
      </c>
      <c r="AF73" s="30">
        <v>1E-3</v>
      </c>
      <c r="AG73" s="30" t="s">
        <v>50</v>
      </c>
      <c r="AH73" s="30">
        <v>4.0000000000000002E-4</v>
      </c>
      <c r="AI73" s="30" t="s">
        <v>62</v>
      </c>
      <c r="AJ73" s="30">
        <v>1.2E-2</v>
      </c>
      <c r="AK73" s="30">
        <v>8.0000000000000002E-3</v>
      </c>
      <c r="AL73" s="69" t="s">
        <v>82</v>
      </c>
      <c r="AM73" s="75">
        <f t="shared" si="21"/>
        <v>0.47733333333333328</v>
      </c>
      <c r="AN73" s="33">
        <f t="shared" si="22"/>
        <v>0.24233333333333335</v>
      </c>
      <c r="AO73" s="82">
        <f t="shared" si="23"/>
        <v>0.39311249999999998</v>
      </c>
      <c r="AP73" s="85">
        <f t="shared" si="24"/>
        <v>0.29950000000000004</v>
      </c>
      <c r="AQ73" s="32"/>
      <c r="AR73" s="10">
        <v>790</v>
      </c>
      <c r="AS73" s="10">
        <v>982</v>
      </c>
      <c r="AT73" s="10">
        <v>13.6</v>
      </c>
      <c r="AU73" s="10">
        <v>12</v>
      </c>
      <c r="AV73" s="10">
        <v>18</v>
      </c>
      <c r="AW73" s="10">
        <v>18</v>
      </c>
      <c r="AX73" s="10">
        <v>37</v>
      </c>
      <c r="AZ73" s="10">
        <v>69</v>
      </c>
      <c r="BA73" s="11" t="s">
        <v>192</v>
      </c>
      <c r="BB73" s="77" t="s">
        <v>170</v>
      </c>
      <c r="BC73" s="200"/>
      <c r="BG73" s="217">
        <v>9</v>
      </c>
      <c r="BH73" s="34">
        <v>9</v>
      </c>
      <c r="BI73" s="34">
        <v>9</v>
      </c>
      <c r="BJ73" s="34">
        <v>18</v>
      </c>
      <c r="BK73" s="34">
        <v>18</v>
      </c>
      <c r="BL73" s="220">
        <f t="shared" si="16"/>
        <v>12.6</v>
      </c>
      <c r="BM73" s="217">
        <v>14</v>
      </c>
      <c r="BN73" s="34">
        <v>15</v>
      </c>
      <c r="BO73" s="34">
        <v>19</v>
      </c>
      <c r="BP73" s="34">
        <v>9</v>
      </c>
      <c r="BQ73" s="34">
        <v>35</v>
      </c>
      <c r="BR73" s="220">
        <f t="shared" si="17"/>
        <v>18.399999999999999</v>
      </c>
      <c r="BS73" s="217">
        <v>22</v>
      </c>
      <c r="BT73" s="34">
        <v>14</v>
      </c>
      <c r="BU73" s="34">
        <v>9</v>
      </c>
      <c r="BV73" s="34">
        <v>14</v>
      </c>
      <c r="BW73" s="34">
        <v>32</v>
      </c>
      <c r="BX73" s="220">
        <f t="shared" si="18"/>
        <v>18.2</v>
      </c>
      <c r="BY73" s="217">
        <v>45</v>
      </c>
      <c r="BZ73" s="34">
        <v>18</v>
      </c>
      <c r="CA73" s="34">
        <v>30</v>
      </c>
      <c r="CB73" s="34">
        <v>41</v>
      </c>
      <c r="CC73" s="34">
        <v>49</v>
      </c>
      <c r="CD73" s="220">
        <f t="shared" si="19"/>
        <v>36.6</v>
      </c>
      <c r="CE73" s="217"/>
      <c r="CJ73" s="220"/>
      <c r="CK73" s="217">
        <v>86</v>
      </c>
      <c r="CL73" s="34">
        <v>81</v>
      </c>
      <c r="CM73" s="34">
        <v>46</v>
      </c>
      <c r="CN73" s="34">
        <v>57</v>
      </c>
      <c r="CO73" s="34">
        <v>73</v>
      </c>
      <c r="CP73" s="220">
        <f t="shared" si="20"/>
        <v>68.599999999999994</v>
      </c>
    </row>
    <row r="74" spans="1:94" s="34" customFormat="1" ht="25.5" customHeight="1" x14ac:dyDescent="0.25">
      <c r="A74" s="217"/>
      <c r="B74" s="58" t="s">
        <v>73</v>
      </c>
      <c r="C74" s="31" t="s">
        <v>59</v>
      </c>
      <c r="D74" s="30" t="s">
        <v>60</v>
      </c>
      <c r="E74" s="30" t="s">
        <v>42</v>
      </c>
      <c r="F74" s="249" t="s">
        <v>57</v>
      </c>
      <c r="G74" s="31" t="s">
        <v>83</v>
      </c>
      <c r="H74" s="8" t="s">
        <v>153</v>
      </c>
      <c r="I74" s="1">
        <v>1</v>
      </c>
      <c r="J74" s="31">
        <v>5</v>
      </c>
      <c r="K74" s="32"/>
      <c r="L74" s="30">
        <v>0.15</v>
      </c>
      <c r="M74" s="30">
        <v>0.37</v>
      </c>
      <c r="N74" s="30">
        <v>1.33</v>
      </c>
      <c r="O74" s="30">
        <v>6.0000000000000001E-3</v>
      </c>
      <c r="P74" s="30">
        <v>2E-3</v>
      </c>
      <c r="Q74" s="30">
        <v>0.26</v>
      </c>
      <c r="R74" s="30">
        <v>0.68</v>
      </c>
      <c r="S74" s="30">
        <v>0.61</v>
      </c>
      <c r="T74" s="30" t="s">
        <v>50</v>
      </c>
      <c r="U74" s="30">
        <v>1.2999999999999999E-2</v>
      </c>
      <c r="V74" s="30">
        <v>0.03</v>
      </c>
      <c r="W74" s="30">
        <v>1.0999999999999999E-2</v>
      </c>
      <c r="X74" s="30">
        <v>0.02</v>
      </c>
      <c r="Y74" s="30">
        <v>3.5999999999999997E-2</v>
      </c>
      <c r="Z74" s="30">
        <v>1E-3</v>
      </c>
      <c r="AA74" s="30">
        <v>1.4E-2</v>
      </c>
      <c r="AB74" s="30" t="s">
        <v>49</v>
      </c>
      <c r="AC74" s="30">
        <v>1E-3</v>
      </c>
      <c r="AD74" s="30"/>
      <c r="AE74" s="30" t="s">
        <v>50</v>
      </c>
      <c r="AF74" s="30">
        <v>1E-3</v>
      </c>
      <c r="AG74" s="30" t="s">
        <v>50</v>
      </c>
      <c r="AH74" s="30">
        <v>5.0000000000000001E-4</v>
      </c>
      <c r="AI74" s="30" t="s">
        <v>62</v>
      </c>
      <c r="AJ74" s="30">
        <v>1.0999999999999999E-2</v>
      </c>
      <c r="AK74" s="30">
        <v>8.9999999999999993E-3</v>
      </c>
      <c r="AL74" s="69" t="s">
        <v>79</v>
      </c>
      <c r="AM74" s="75">
        <f t="shared" si="21"/>
        <v>0.59833333333333338</v>
      </c>
      <c r="AN74" s="33">
        <f t="shared" si="22"/>
        <v>0.30283333333333334</v>
      </c>
      <c r="AO74" s="82">
        <f t="shared" si="23"/>
        <v>0.55200042099585578</v>
      </c>
      <c r="AP74" s="85">
        <f t="shared" si="24"/>
        <v>0.37500000000000006</v>
      </c>
      <c r="AQ74" s="32"/>
      <c r="AR74" s="10">
        <v>913</v>
      </c>
      <c r="AS74" s="10">
        <v>1152</v>
      </c>
      <c r="AT74" s="10">
        <v>9.6999999999999993</v>
      </c>
      <c r="AU74" s="10">
        <v>19</v>
      </c>
      <c r="AV74" s="10">
        <v>28</v>
      </c>
      <c r="AW74" s="10">
        <v>32</v>
      </c>
      <c r="AX74" s="10">
        <v>37</v>
      </c>
      <c r="AZ74" s="10">
        <v>74</v>
      </c>
      <c r="BA74" s="11" t="s">
        <v>191</v>
      </c>
      <c r="BB74" s="77" t="s">
        <v>190</v>
      </c>
      <c r="BC74" s="200"/>
      <c r="BG74" s="217">
        <v>13</v>
      </c>
      <c r="BH74" s="34">
        <v>22</v>
      </c>
      <c r="BI74" s="34">
        <v>27</v>
      </c>
      <c r="BJ74" s="34">
        <v>15</v>
      </c>
      <c r="BK74" s="34">
        <v>20</v>
      </c>
      <c r="BL74" s="220">
        <f t="shared" si="16"/>
        <v>19.399999999999999</v>
      </c>
      <c r="BM74" s="217">
        <v>36</v>
      </c>
      <c r="BN74" s="34">
        <v>25</v>
      </c>
      <c r="BO74" s="34">
        <v>28</v>
      </c>
      <c r="BP74" s="34">
        <v>35</v>
      </c>
      <c r="BQ74" s="34">
        <v>17</v>
      </c>
      <c r="BR74" s="220">
        <f t="shared" si="17"/>
        <v>28.2</v>
      </c>
      <c r="BS74" s="217">
        <v>35</v>
      </c>
      <c r="BT74" s="34">
        <v>33</v>
      </c>
      <c r="BU74" s="34">
        <v>44</v>
      </c>
      <c r="BV74" s="34">
        <v>30</v>
      </c>
      <c r="BW74" s="34">
        <v>18</v>
      </c>
      <c r="BX74" s="220">
        <f t="shared" si="18"/>
        <v>32</v>
      </c>
      <c r="BY74" s="217">
        <v>40</v>
      </c>
      <c r="BZ74" s="34">
        <v>35</v>
      </c>
      <c r="CA74" s="34">
        <v>35</v>
      </c>
      <c r="CB74" s="34">
        <v>41</v>
      </c>
      <c r="CC74" s="34">
        <v>35</v>
      </c>
      <c r="CD74" s="220">
        <f t="shared" si="19"/>
        <v>37.200000000000003</v>
      </c>
      <c r="CE74" s="217"/>
      <c r="CJ74" s="220"/>
      <c r="CK74" s="217">
        <v>75</v>
      </c>
      <c r="CL74" s="34">
        <v>75</v>
      </c>
      <c r="CM74" s="34">
        <v>60</v>
      </c>
      <c r="CN74" s="34">
        <v>102</v>
      </c>
      <c r="CO74" s="34">
        <v>58</v>
      </c>
      <c r="CP74" s="220">
        <f t="shared" si="20"/>
        <v>74</v>
      </c>
    </row>
    <row r="75" spans="1:94" ht="37.5" customHeight="1" x14ac:dyDescent="0.25">
      <c r="A75" s="210"/>
      <c r="B75" s="41"/>
      <c r="E75" s="42"/>
      <c r="F75" s="247"/>
      <c r="K75" s="21"/>
      <c r="L75" s="15"/>
      <c r="M75" s="12"/>
      <c r="N75" s="12"/>
      <c r="O75" s="1"/>
      <c r="P75" s="1"/>
      <c r="Q75" s="1"/>
      <c r="R75" s="45"/>
      <c r="S75" s="1"/>
      <c r="T75" s="1"/>
      <c r="U75" s="1"/>
      <c r="V75" s="1"/>
      <c r="W75" s="1"/>
      <c r="X75" s="1"/>
      <c r="Y75" s="1"/>
      <c r="Z75" s="15"/>
      <c r="AA75" s="15"/>
      <c r="AB75" s="1"/>
      <c r="AC75" s="1"/>
      <c r="AD75" s="1"/>
      <c r="AE75" s="1"/>
      <c r="AF75" s="1"/>
      <c r="AG75" s="43"/>
      <c r="AH75" s="1"/>
      <c r="AI75" s="1"/>
      <c r="AJ75" s="15"/>
      <c r="AK75" s="44"/>
      <c r="AL75" s="21"/>
      <c r="AM75" s="74"/>
      <c r="AN75" s="13"/>
      <c r="AO75" s="81"/>
      <c r="AP75" s="85"/>
      <c r="AQ75" s="21"/>
      <c r="AR75" s="210"/>
      <c r="BB75" s="46"/>
      <c r="BC75" s="21"/>
      <c r="BG75" s="210"/>
      <c r="BL75" s="220"/>
      <c r="BM75" s="210"/>
      <c r="BR75" s="220"/>
      <c r="BS75" s="210"/>
      <c r="BX75" s="220"/>
      <c r="BY75" s="210"/>
      <c r="CD75" s="220"/>
      <c r="CE75" s="210"/>
      <c r="CJ75" s="220"/>
      <c r="CK75" s="210"/>
      <c r="CP75" s="220"/>
    </row>
    <row r="76" spans="1:94" hidden="1" x14ac:dyDescent="0.25">
      <c r="A76" s="210"/>
      <c r="B76" s="41">
        <v>21</v>
      </c>
      <c r="C76" s="1" t="s">
        <v>77</v>
      </c>
      <c r="E76" s="10" t="s">
        <v>41</v>
      </c>
      <c r="F76" s="247" t="s">
        <v>52</v>
      </c>
      <c r="G76" s="1" t="s">
        <v>83</v>
      </c>
      <c r="H76" s="47" t="s">
        <v>154</v>
      </c>
      <c r="I76" s="47">
        <v>1</v>
      </c>
      <c r="J76" s="47"/>
      <c r="K76" s="21"/>
      <c r="L76" s="15"/>
      <c r="M76" s="1"/>
      <c r="N76" s="1"/>
      <c r="O76" s="15"/>
      <c r="P76" s="1"/>
      <c r="Q76" s="1"/>
      <c r="R76" s="12"/>
      <c r="S76" s="1"/>
      <c r="T76" s="16"/>
      <c r="U76" s="1"/>
      <c r="V76" s="1"/>
      <c r="W76" s="1"/>
      <c r="X76" s="1"/>
      <c r="Y76" s="1"/>
      <c r="Z76" s="1"/>
      <c r="AA76" s="1"/>
      <c r="AB76" s="16"/>
      <c r="AC76" s="1"/>
      <c r="AD76" s="16"/>
      <c r="AE76" s="16"/>
      <c r="AF76" s="1"/>
      <c r="AG76" s="16"/>
      <c r="AH76" s="1"/>
      <c r="AI76" s="16"/>
      <c r="AJ76" s="1"/>
      <c r="AK76" s="53"/>
      <c r="AL76" s="21"/>
      <c r="AM76" s="74">
        <f t="shared" si="21"/>
        <v>0</v>
      </c>
      <c r="AN76" s="13">
        <f t="shared" si="22"/>
        <v>0</v>
      </c>
      <c r="AO76" s="81">
        <f t="shared" si="23"/>
        <v>0</v>
      </c>
      <c r="AP76" s="85">
        <f t="shared" si="24"/>
        <v>0</v>
      </c>
      <c r="AQ76" s="21"/>
      <c r="AR76" s="210"/>
      <c r="BB76" s="46"/>
      <c r="BC76" s="21"/>
      <c r="BG76" s="210"/>
      <c r="BL76" s="220">
        <f t="shared" si="16"/>
        <v>0</v>
      </c>
      <c r="BM76" s="210"/>
      <c r="BR76" s="220">
        <f t="shared" si="17"/>
        <v>0</v>
      </c>
      <c r="BS76" s="210"/>
      <c r="BX76" s="220">
        <f t="shared" si="18"/>
        <v>0</v>
      </c>
      <c r="BY76" s="210"/>
      <c r="CD76" s="220">
        <f t="shared" si="19"/>
        <v>0</v>
      </c>
      <c r="CE76" s="210"/>
      <c r="CJ76" s="220"/>
      <c r="CK76" s="210"/>
      <c r="CP76" s="220">
        <f t="shared" si="20"/>
        <v>0</v>
      </c>
    </row>
    <row r="77" spans="1:94" hidden="1" x14ac:dyDescent="0.25">
      <c r="A77" s="210"/>
      <c r="B77" s="41">
        <v>22</v>
      </c>
      <c r="C77" s="1" t="s">
        <v>77</v>
      </c>
      <c r="E77" s="10" t="s">
        <v>41</v>
      </c>
      <c r="F77" s="247" t="s">
        <v>52</v>
      </c>
      <c r="G77" s="1" t="s">
        <v>83</v>
      </c>
      <c r="H77" s="47" t="s">
        <v>154</v>
      </c>
      <c r="I77" s="47">
        <v>1</v>
      </c>
      <c r="J77" s="47"/>
      <c r="K77" s="21"/>
      <c r="L77" s="15"/>
      <c r="M77" s="1"/>
      <c r="N77" s="1"/>
      <c r="O77" s="15"/>
      <c r="P77" s="1"/>
      <c r="Q77" s="1"/>
      <c r="R77" s="12"/>
      <c r="S77" s="1"/>
      <c r="T77" s="16"/>
      <c r="U77" s="1"/>
      <c r="V77" s="1"/>
      <c r="W77" s="1"/>
      <c r="X77" s="1"/>
      <c r="Y77" s="1"/>
      <c r="Z77" s="1"/>
      <c r="AA77" s="1"/>
      <c r="AB77" s="16"/>
      <c r="AC77" s="1"/>
      <c r="AD77" s="16"/>
      <c r="AE77" s="16"/>
      <c r="AF77" s="1"/>
      <c r="AG77" s="16"/>
      <c r="AH77" s="1"/>
      <c r="AI77" s="16"/>
      <c r="AJ77" s="1"/>
      <c r="AK77" s="53"/>
      <c r="AL77" s="21"/>
      <c r="AM77" s="74">
        <f t="shared" si="21"/>
        <v>0</v>
      </c>
      <c r="AN77" s="13">
        <f t="shared" si="22"/>
        <v>0</v>
      </c>
      <c r="AO77" s="81">
        <f t="shared" si="23"/>
        <v>0</v>
      </c>
      <c r="AP77" s="85">
        <f t="shared" si="24"/>
        <v>0</v>
      </c>
      <c r="AQ77" s="21"/>
      <c r="AR77" s="210"/>
      <c r="BB77" s="46"/>
      <c r="BC77" s="21"/>
      <c r="BG77" s="210"/>
      <c r="BL77" s="220">
        <f t="shared" si="16"/>
        <v>0</v>
      </c>
      <c r="BM77" s="210"/>
      <c r="BR77" s="220">
        <f t="shared" si="17"/>
        <v>0</v>
      </c>
      <c r="BS77" s="210"/>
      <c r="BX77" s="220">
        <f t="shared" si="18"/>
        <v>0</v>
      </c>
      <c r="BY77" s="210"/>
      <c r="CD77" s="220">
        <f t="shared" si="19"/>
        <v>0</v>
      </c>
      <c r="CE77" s="210"/>
      <c r="CJ77" s="220"/>
      <c r="CK77" s="210"/>
      <c r="CP77" s="220">
        <f t="shared" si="20"/>
        <v>0</v>
      </c>
    </row>
    <row r="78" spans="1:94" hidden="1" x14ac:dyDescent="0.25">
      <c r="A78" s="210"/>
      <c r="B78" s="41">
        <v>23</v>
      </c>
      <c r="C78" s="1" t="s">
        <v>77</v>
      </c>
      <c r="E78" s="10" t="s">
        <v>42</v>
      </c>
      <c r="F78" s="247" t="s">
        <v>57</v>
      </c>
      <c r="G78" s="1" t="s">
        <v>83</v>
      </c>
      <c r="H78" s="47" t="s">
        <v>154</v>
      </c>
      <c r="I78" s="47">
        <v>1</v>
      </c>
      <c r="J78" s="47"/>
      <c r="K78" s="21"/>
      <c r="L78" s="15"/>
      <c r="M78" s="1"/>
      <c r="N78" s="1"/>
      <c r="O78" s="15"/>
      <c r="P78" s="1"/>
      <c r="Q78" s="1"/>
      <c r="R78" s="12"/>
      <c r="S78" s="1"/>
      <c r="T78" s="16"/>
      <c r="U78" s="1"/>
      <c r="V78" s="1"/>
      <c r="W78" s="1"/>
      <c r="X78" s="1"/>
      <c r="Y78" s="1"/>
      <c r="Z78" s="1"/>
      <c r="AA78" s="1"/>
      <c r="AB78" s="16"/>
      <c r="AC78" s="1"/>
      <c r="AD78" s="16"/>
      <c r="AE78" s="16"/>
      <c r="AF78" s="1"/>
      <c r="AG78" s="16"/>
      <c r="AH78" s="1"/>
      <c r="AI78" s="16"/>
      <c r="AJ78" s="1"/>
      <c r="AK78" s="53"/>
      <c r="AL78" s="21"/>
      <c r="AM78" s="74">
        <f t="shared" si="21"/>
        <v>0</v>
      </c>
      <c r="AN78" s="13">
        <f t="shared" si="22"/>
        <v>0</v>
      </c>
      <c r="AO78" s="81">
        <f t="shared" si="23"/>
        <v>0</v>
      </c>
      <c r="AP78" s="85">
        <f t="shared" si="24"/>
        <v>0</v>
      </c>
      <c r="AQ78" s="21"/>
      <c r="AR78" s="210"/>
      <c r="BB78" s="46"/>
      <c r="BC78" s="21"/>
      <c r="BG78" s="210"/>
      <c r="BL78" s="220">
        <f t="shared" si="16"/>
        <v>0</v>
      </c>
      <c r="BM78" s="210"/>
      <c r="BR78" s="220">
        <f t="shared" si="17"/>
        <v>0</v>
      </c>
      <c r="BS78" s="210"/>
      <c r="BX78" s="220">
        <f t="shared" si="18"/>
        <v>0</v>
      </c>
      <c r="BY78" s="210"/>
      <c r="CD78" s="220">
        <f t="shared" si="19"/>
        <v>0</v>
      </c>
      <c r="CE78" s="210"/>
      <c r="CJ78" s="220"/>
      <c r="CK78" s="210"/>
      <c r="CP78" s="220">
        <f t="shared" si="20"/>
        <v>0</v>
      </c>
    </row>
    <row r="79" spans="1:94" hidden="1" x14ac:dyDescent="0.25">
      <c r="A79" s="210"/>
      <c r="B79" s="41">
        <v>24</v>
      </c>
      <c r="C79" s="1" t="s">
        <v>77</v>
      </c>
      <c r="E79" s="10" t="s">
        <v>42</v>
      </c>
      <c r="F79" s="247" t="s">
        <v>57</v>
      </c>
      <c r="G79" s="1" t="s">
        <v>83</v>
      </c>
      <c r="H79" s="47" t="s">
        <v>154</v>
      </c>
      <c r="I79" s="47">
        <v>1</v>
      </c>
      <c r="J79" s="47"/>
      <c r="K79" s="21"/>
      <c r="L79" s="15"/>
      <c r="M79" s="1"/>
      <c r="N79" s="1"/>
      <c r="O79" s="15"/>
      <c r="P79" s="1"/>
      <c r="Q79" s="1"/>
      <c r="R79" s="12"/>
      <c r="S79" s="1"/>
      <c r="T79" s="16"/>
      <c r="U79" s="1"/>
      <c r="V79" s="1"/>
      <c r="W79" s="1"/>
      <c r="X79" s="1"/>
      <c r="Y79" s="1"/>
      <c r="Z79" s="1"/>
      <c r="AA79" s="1"/>
      <c r="AB79" s="16"/>
      <c r="AC79" s="1"/>
      <c r="AD79" s="16"/>
      <c r="AE79" s="16"/>
      <c r="AF79" s="1"/>
      <c r="AG79" s="16"/>
      <c r="AH79" s="1"/>
      <c r="AI79" s="16"/>
      <c r="AJ79" s="1"/>
      <c r="AK79" s="53"/>
      <c r="AL79" s="21"/>
      <c r="AM79" s="74">
        <f t="shared" si="21"/>
        <v>0</v>
      </c>
      <c r="AN79" s="13">
        <f t="shared" si="22"/>
        <v>0</v>
      </c>
      <c r="AO79" s="81">
        <f t="shared" si="23"/>
        <v>0</v>
      </c>
      <c r="AP79" s="85">
        <f t="shared" si="24"/>
        <v>0</v>
      </c>
      <c r="AQ79" s="21"/>
      <c r="AR79" s="210"/>
      <c r="BB79" s="46"/>
      <c r="BC79" s="21"/>
      <c r="BG79" s="210"/>
      <c r="BL79" s="220">
        <f t="shared" si="16"/>
        <v>0</v>
      </c>
      <c r="BM79" s="210"/>
      <c r="BR79" s="220">
        <f t="shared" si="17"/>
        <v>0</v>
      </c>
      <c r="BS79" s="210"/>
      <c r="BX79" s="220">
        <f t="shared" si="18"/>
        <v>0</v>
      </c>
      <c r="BY79" s="210"/>
      <c r="CD79" s="220">
        <f t="shared" si="19"/>
        <v>0</v>
      </c>
      <c r="CE79" s="210"/>
      <c r="CJ79" s="220"/>
      <c r="CK79" s="210"/>
      <c r="CP79" s="220">
        <f t="shared" si="20"/>
        <v>0</v>
      </c>
    </row>
    <row r="80" spans="1:94" ht="31.5" customHeight="1" x14ac:dyDescent="0.25">
      <c r="A80" s="210"/>
      <c r="B80" s="41"/>
      <c r="E80" s="42"/>
      <c r="H80" s="8"/>
      <c r="K80" s="21"/>
      <c r="L80" s="15"/>
      <c r="M80" s="12"/>
      <c r="N80" s="12"/>
      <c r="O80" s="1"/>
      <c r="P80" s="1"/>
      <c r="Q80" s="1"/>
      <c r="R80" s="45"/>
      <c r="S80" s="1"/>
      <c r="T80" s="1"/>
      <c r="U80" s="1"/>
      <c r="V80" s="1"/>
      <c r="W80" s="1"/>
      <c r="X80" s="1"/>
      <c r="Y80" s="1"/>
      <c r="Z80" s="15"/>
      <c r="AA80" s="15"/>
      <c r="AB80" s="1"/>
      <c r="AC80" s="1"/>
      <c r="AD80" s="1"/>
      <c r="AE80" s="1"/>
      <c r="AF80" s="1"/>
      <c r="AG80" s="43"/>
      <c r="AH80" s="1"/>
      <c r="AI80" s="1"/>
      <c r="AJ80" s="15"/>
      <c r="AK80" s="44"/>
      <c r="AL80" s="21"/>
      <c r="AM80" s="74"/>
      <c r="AN80" s="13"/>
      <c r="AO80" s="81"/>
      <c r="AP80" s="85"/>
      <c r="AQ80" s="21"/>
      <c r="AR80" s="210"/>
      <c r="BB80" s="46"/>
      <c r="BC80" s="21"/>
      <c r="BG80" s="210"/>
      <c r="BL80" s="220"/>
      <c r="BM80" s="210"/>
      <c r="BR80" s="220"/>
      <c r="BS80" s="210"/>
      <c r="BX80" s="220"/>
      <c r="BY80" s="210"/>
      <c r="CD80" s="220"/>
      <c r="CE80" s="210"/>
      <c r="CJ80" s="220"/>
      <c r="CK80" s="210"/>
      <c r="CP80" s="220"/>
    </row>
    <row r="81" spans="1:94" x14ac:dyDescent="0.25">
      <c r="A81" s="210"/>
      <c r="B81" s="41" t="s">
        <v>74</v>
      </c>
      <c r="C81" s="1" t="s">
        <v>63</v>
      </c>
      <c r="D81" s="30">
        <v>4417</v>
      </c>
      <c r="E81" s="42" t="s">
        <v>39</v>
      </c>
      <c r="F81" s="11" t="s">
        <v>67</v>
      </c>
      <c r="G81" s="1" t="s">
        <v>66</v>
      </c>
      <c r="H81" s="8" t="s">
        <v>64</v>
      </c>
      <c r="I81" s="42" t="s">
        <v>39</v>
      </c>
      <c r="J81" s="1" t="s">
        <v>236</v>
      </c>
      <c r="K81" s="21"/>
      <c r="L81" s="20">
        <v>8.8999999999999996E-2</v>
      </c>
      <c r="M81" s="10">
        <v>0.38</v>
      </c>
      <c r="N81" s="10">
        <v>1.6</v>
      </c>
      <c r="O81" s="10">
        <v>1.0999999999999999E-2</v>
      </c>
      <c r="P81" s="10">
        <v>5.0000000000000001E-3</v>
      </c>
      <c r="Q81" s="10">
        <v>4.2999999999999997E-2</v>
      </c>
      <c r="R81" s="13">
        <v>2.5</v>
      </c>
      <c r="S81" s="10">
        <v>0.98</v>
      </c>
      <c r="T81" s="10">
        <v>8.0000000000000002E-3</v>
      </c>
      <c r="U81" s="10">
        <v>8.0000000000000002E-3</v>
      </c>
      <c r="V81" s="10">
        <v>3.0000000000000001E-3</v>
      </c>
      <c r="W81" s="10">
        <v>6.0000000000000001E-3</v>
      </c>
      <c r="X81" s="10">
        <v>5.3999999999999999E-2</v>
      </c>
      <c r="Y81" s="10">
        <v>0.02</v>
      </c>
      <c r="Z81" s="10">
        <v>4.0000000000000001E-3</v>
      </c>
      <c r="AA81" s="10">
        <v>1.0999999999999999E-2</v>
      </c>
      <c r="AB81" s="10" t="s">
        <v>46</v>
      </c>
      <c r="AC81" s="10">
        <v>4.0000000000000001E-3</v>
      </c>
      <c r="AD81" s="10">
        <v>3.0000000000000001E-3</v>
      </c>
      <c r="AE81" s="10" t="s">
        <v>47</v>
      </c>
      <c r="AF81" s="10">
        <v>2.0000000000000001E-4</v>
      </c>
      <c r="AG81" s="10">
        <v>4.0000000000000001E-3</v>
      </c>
      <c r="AH81" s="10">
        <v>5.0000000000000001E-4</v>
      </c>
      <c r="AI81" s="14">
        <v>1.9E-3</v>
      </c>
      <c r="AJ81" s="10">
        <v>1.6E-2</v>
      </c>
      <c r="AK81" s="77">
        <v>3.0000000000000001E-3</v>
      </c>
      <c r="AL81" s="21" t="s">
        <v>69</v>
      </c>
      <c r="AM81" s="74">
        <f t="shared" si="21"/>
        <v>0.73113333333333352</v>
      </c>
      <c r="AN81" s="13">
        <f t="shared" si="22"/>
        <v>0.29481666666666667</v>
      </c>
      <c r="AO81" s="81">
        <f t="shared" si="23"/>
        <v>0.46704461059442348</v>
      </c>
      <c r="AP81" s="227">
        <f t="shared" si="24"/>
        <v>0.41434999999999994</v>
      </c>
      <c r="AQ81" s="21"/>
      <c r="AR81" s="116">
        <v>961</v>
      </c>
      <c r="AS81" s="10">
        <v>1012</v>
      </c>
      <c r="AT81" s="10">
        <v>18.5</v>
      </c>
      <c r="AU81" s="10">
        <v>43</v>
      </c>
      <c r="AV81" s="10">
        <v>58</v>
      </c>
      <c r="AW81" s="10">
        <v>75</v>
      </c>
      <c r="AX81" s="10"/>
      <c r="AY81" s="163">
        <v>89</v>
      </c>
      <c r="AZ81" s="163"/>
      <c r="BA81" s="10" t="s">
        <v>168</v>
      </c>
      <c r="BB81" s="77" t="s">
        <v>168</v>
      </c>
      <c r="BC81" s="21"/>
      <c r="BG81" s="210"/>
      <c r="BL81" s="220">
        <v>43</v>
      </c>
      <c r="BM81" s="210"/>
      <c r="BR81" s="220">
        <v>58</v>
      </c>
      <c r="BS81" s="210"/>
      <c r="BX81" s="220">
        <v>75</v>
      </c>
      <c r="BY81" s="210"/>
      <c r="CD81" s="220"/>
      <c r="CE81" s="210"/>
      <c r="CJ81" s="220">
        <v>89</v>
      </c>
      <c r="CK81" s="210"/>
      <c r="CP81" s="220"/>
    </row>
    <row r="82" spans="1:94" x14ac:dyDescent="0.25">
      <c r="A82" s="210"/>
      <c r="B82" s="41" t="s">
        <v>74</v>
      </c>
      <c r="C82" s="1" t="s">
        <v>63</v>
      </c>
      <c r="D82" s="30">
        <v>4418</v>
      </c>
      <c r="E82" s="42" t="s">
        <v>39</v>
      </c>
      <c r="F82" s="11" t="s">
        <v>68</v>
      </c>
      <c r="G82" s="1" t="s">
        <v>66</v>
      </c>
      <c r="H82" s="8" t="s">
        <v>64</v>
      </c>
      <c r="I82" s="42" t="s">
        <v>39</v>
      </c>
      <c r="J82" s="1" t="s">
        <v>236</v>
      </c>
      <c r="K82" s="21"/>
      <c r="L82" s="20">
        <v>0.11</v>
      </c>
      <c r="M82" s="10">
        <v>0.39</v>
      </c>
      <c r="N82" s="10">
        <v>1.7</v>
      </c>
      <c r="O82" s="10">
        <v>1.0999999999999999E-2</v>
      </c>
      <c r="P82" s="10">
        <v>5.0000000000000001E-3</v>
      </c>
      <c r="Q82" s="10">
        <v>3.9E-2</v>
      </c>
      <c r="R82" s="10">
        <v>2.59</v>
      </c>
      <c r="S82" s="10">
        <v>1.05</v>
      </c>
      <c r="T82" s="10">
        <v>8.0000000000000002E-3</v>
      </c>
      <c r="U82" s="10">
        <v>8.0000000000000002E-3</v>
      </c>
      <c r="V82" s="10">
        <v>3.0000000000000001E-3</v>
      </c>
      <c r="W82" s="10">
        <v>7.0000000000000001E-3</v>
      </c>
      <c r="X82" s="10">
        <v>3.5999999999999997E-2</v>
      </c>
      <c r="Y82" s="10">
        <v>2.1000000000000001E-2</v>
      </c>
      <c r="Z82" s="10">
        <v>4.0000000000000001E-3</v>
      </c>
      <c r="AA82" s="10">
        <v>0.01</v>
      </c>
      <c r="AB82" s="10" t="s">
        <v>46</v>
      </c>
      <c r="AC82" s="10">
        <v>3.0000000000000001E-3</v>
      </c>
      <c r="AD82" s="10">
        <v>2E-3</v>
      </c>
      <c r="AE82" s="10" t="s">
        <v>47</v>
      </c>
      <c r="AF82" s="10">
        <v>2.0000000000000001E-4</v>
      </c>
      <c r="AG82" s="10">
        <v>5.0000000000000001E-3</v>
      </c>
      <c r="AH82" s="10">
        <v>8.0000000000000004E-4</v>
      </c>
      <c r="AI82" s="10">
        <v>2E-3</v>
      </c>
      <c r="AJ82" s="10">
        <v>1.6E-2</v>
      </c>
      <c r="AK82" s="77">
        <v>3.0000000000000001E-3</v>
      </c>
      <c r="AL82" s="21" t="s">
        <v>69</v>
      </c>
      <c r="AM82" s="74">
        <f t="shared" si="21"/>
        <v>0.78680000000000005</v>
      </c>
      <c r="AN82" s="13">
        <f t="shared" si="22"/>
        <v>0.32621666666666671</v>
      </c>
      <c r="AO82" s="81">
        <f t="shared" si="23"/>
        <v>0.56632568588154764</v>
      </c>
      <c r="AP82" s="227">
        <f t="shared" si="24"/>
        <v>0.45350000000000001</v>
      </c>
      <c r="AQ82" s="21"/>
      <c r="AR82" s="116">
        <v>1006</v>
      </c>
      <c r="AS82" s="10">
        <v>1063</v>
      </c>
      <c r="AT82" s="10">
        <v>16.3</v>
      </c>
      <c r="AU82" s="10">
        <v>50</v>
      </c>
      <c r="AV82" s="10">
        <v>59</v>
      </c>
      <c r="AW82" s="10">
        <v>74</v>
      </c>
      <c r="AX82" s="10"/>
      <c r="AY82" s="10">
        <v>88</v>
      </c>
      <c r="AZ82" s="10"/>
      <c r="BA82" s="10" t="s">
        <v>168</v>
      </c>
      <c r="BB82" s="77" t="s">
        <v>168</v>
      </c>
      <c r="BC82" s="21"/>
      <c r="BG82" s="210"/>
      <c r="BL82" s="220">
        <v>50</v>
      </c>
      <c r="BM82" s="210"/>
      <c r="BR82" s="220">
        <v>59</v>
      </c>
      <c r="BS82" s="210"/>
      <c r="BX82" s="220">
        <v>74</v>
      </c>
      <c r="BY82" s="210"/>
      <c r="CD82" s="220"/>
      <c r="CE82" s="210"/>
      <c r="CJ82" s="220">
        <v>88</v>
      </c>
      <c r="CK82" s="210"/>
      <c r="CP82" s="220"/>
    </row>
    <row r="83" spans="1:94" ht="27" customHeight="1" x14ac:dyDescent="0.25">
      <c r="A83" s="210"/>
      <c r="B83" s="41"/>
      <c r="D83" s="30"/>
      <c r="K83" s="21"/>
      <c r="L83" s="59"/>
      <c r="AK83" s="46"/>
      <c r="AL83" s="21"/>
      <c r="AM83" s="74"/>
      <c r="AN83" s="13"/>
      <c r="AO83" s="81"/>
      <c r="AP83" s="227"/>
      <c r="AQ83" s="21"/>
      <c r="AR83" s="210"/>
      <c r="BB83" s="46"/>
      <c r="BC83" s="21"/>
      <c r="BG83" s="210"/>
      <c r="BL83" s="220"/>
      <c r="BM83" s="210"/>
      <c r="BR83" s="220"/>
      <c r="BS83" s="210"/>
      <c r="BX83" s="220"/>
      <c r="BY83" s="210"/>
      <c r="CD83" s="220"/>
      <c r="CE83" s="210"/>
      <c r="CJ83" s="220"/>
      <c r="CK83" s="210"/>
      <c r="CP83" s="220"/>
    </row>
    <row r="84" spans="1:94" ht="15" customHeight="1" x14ac:dyDescent="0.25">
      <c r="A84" s="210"/>
      <c r="B84" s="41"/>
      <c r="C84" s="1" t="s">
        <v>63</v>
      </c>
      <c r="D84" s="30">
        <v>5209</v>
      </c>
      <c r="E84" s="10" t="s">
        <v>41</v>
      </c>
      <c r="F84" s="11" t="s">
        <v>67</v>
      </c>
      <c r="G84" s="1" t="s">
        <v>66</v>
      </c>
      <c r="H84" s="8" t="s">
        <v>43</v>
      </c>
      <c r="I84" s="1">
        <v>8</v>
      </c>
      <c r="J84" s="1">
        <v>10</v>
      </c>
      <c r="K84" s="21"/>
      <c r="L84" s="20">
        <v>0.1</v>
      </c>
      <c r="M84" s="10">
        <v>0.34</v>
      </c>
      <c r="N84" s="10">
        <v>1.42</v>
      </c>
      <c r="O84" s="14">
        <v>0.01</v>
      </c>
      <c r="P84" s="10">
        <v>6.0000000000000001E-3</v>
      </c>
      <c r="Q84" s="10">
        <v>0.105</v>
      </c>
      <c r="R84" s="10">
        <v>1.82</v>
      </c>
      <c r="S84" s="10">
        <v>0.79</v>
      </c>
      <c r="T84" s="10">
        <v>5.0000000000000001E-3</v>
      </c>
      <c r="U84" s="10">
        <v>8.0000000000000002E-3</v>
      </c>
      <c r="V84" s="10">
        <v>4.0000000000000001E-3</v>
      </c>
      <c r="W84" s="10">
        <v>4.0000000000000001E-3</v>
      </c>
      <c r="X84" s="10">
        <v>1.7999999999999999E-2</v>
      </c>
      <c r="Y84" s="10">
        <v>2.5000000000000001E-2</v>
      </c>
      <c r="Z84" s="10">
        <v>4.0000000000000001E-3</v>
      </c>
      <c r="AA84" s="14">
        <v>0.01</v>
      </c>
      <c r="AB84" s="10" t="s">
        <v>46</v>
      </c>
      <c r="AC84" s="10">
        <v>2E-3</v>
      </c>
      <c r="AD84" s="10">
        <v>1E-3</v>
      </c>
      <c r="AE84" s="10" t="s">
        <v>47</v>
      </c>
      <c r="AF84" s="10">
        <v>4.0000000000000002E-4</v>
      </c>
      <c r="AG84" s="10">
        <v>4.0000000000000001E-3</v>
      </c>
      <c r="AH84" s="10">
        <v>5.0000000000000001E-4</v>
      </c>
      <c r="AI84" s="10">
        <v>1.2999999999999999E-3</v>
      </c>
      <c r="AJ84" s="10">
        <v>2.1999999999999999E-2</v>
      </c>
      <c r="AK84" s="77">
        <v>3.0000000000000001E-3</v>
      </c>
      <c r="AL84" s="21" t="s">
        <v>90</v>
      </c>
      <c r="AM84" s="74">
        <f t="shared" si="21"/>
        <v>0.63900000000000001</v>
      </c>
      <c r="AN84" s="13">
        <f t="shared" si="22"/>
        <v>0.27388333333333337</v>
      </c>
      <c r="AO84" s="81">
        <f t="shared" si="23"/>
        <v>0.44298651459943905</v>
      </c>
      <c r="AP84" s="227">
        <f t="shared" si="24"/>
        <v>0.37264999999999998</v>
      </c>
      <c r="AQ84" s="21"/>
      <c r="AR84" s="116">
        <v>885</v>
      </c>
      <c r="AS84" s="10">
        <v>963</v>
      </c>
      <c r="AT84" s="10">
        <v>16</v>
      </c>
      <c r="AU84" s="10">
        <v>31</v>
      </c>
      <c r="AV84" s="10">
        <v>43</v>
      </c>
      <c r="AW84" s="10">
        <v>73</v>
      </c>
      <c r="AX84" s="10">
        <v>96</v>
      </c>
      <c r="AY84" s="10">
        <v>112</v>
      </c>
      <c r="AZ84" s="10">
        <v>102</v>
      </c>
      <c r="BA84" s="215" t="s">
        <v>169</v>
      </c>
      <c r="BB84" s="225" t="s">
        <v>170</v>
      </c>
      <c r="BC84" s="21"/>
      <c r="BG84" s="210">
        <v>26</v>
      </c>
      <c r="BH84">
        <v>36</v>
      </c>
      <c r="BI84">
        <v>40</v>
      </c>
      <c r="BJ84">
        <v>23</v>
      </c>
      <c r="BK84">
        <v>32</v>
      </c>
      <c r="BL84" s="220">
        <f t="shared" si="16"/>
        <v>31.4</v>
      </c>
      <c r="BM84" s="210">
        <v>37</v>
      </c>
      <c r="BN84">
        <v>41</v>
      </c>
      <c r="BO84">
        <v>43</v>
      </c>
      <c r="BP84">
        <v>39</v>
      </c>
      <c r="BQ84">
        <v>56</v>
      </c>
      <c r="BR84" s="220">
        <f t="shared" si="17"/>
        <v>43.2</v>
      </c>
      <c r="BS84" s="210">
        <v>74</v>
      </c>
      <c r="BT84">
        <v>71</v>
      </c>
      <c r="BU84">
        <v>66</v>
      </c>
      <c r="BV84">
        <v>90</v>
      </c>
      <c r="BW84">
        <v>65</v>
      </c>
      <c r="BX84" s="220">
        <f t="shared" si="18"/>
        <v>73.2</v>
      </c>
      <c r="BY84" s="210">
        <v>95</v>
      </c>
      <c r="BZ84">
        <v>119</v>
      </c>
      <c r="CA84">
        <v>85</v>
      </c>
      <c r="CB84">
        <v>89</v>
      </c>
      <c r="CC84">
        <v>95</v>
      </c>
      <c r="CD84" s="220">
        <f t="shared" si="19"/>
        <v>96.6</v>
      </c>
      <c r="CE84" s="210">
        <v>124</v>
      </c>
      <c r="CF84">
        <v>96</v>
      </c>
      <c r="CG84">
        <v>109</v>
      </c>
      <c r="CH84">
        <v>119</v>
      </c>
      <c r="CI84">
        <v>114</v>
      </c>
      <c r="CJ84" s="220">
        <f t="shared" ref="CJ84:CJ87" si="25">(CE84+CF84+CG84+CH84+CI84)/5</f>
        <v>112.4</v>
      </c>
      <c r="CK84" s="210">
        <v>114</v>
      </c>
      <c r="CL84">
        <v>120</v>
      </c>
      <c r="CM84">
        <v>94</v>
      </c>
      <c r="CN84">
        <v>102</v>
      </c>
      <c r="CO84">
        <v>111</v>
      </c>
      <c r="CP84" s="220">
        <f t="shared" si="20"/>
        <v>108.2</v>
      </c>
    </row>
    <row r="85" spans="1:94" ht="15" customHeight="1" x14ac:dyDescent="0.25">
      <c r="A85" s="210"/>
      <c r="B85" s="41"/>
      <c r="C85" s="1" t="s">
        <v>63</v>
      </c>
      <c r="D85" s="30">
        <v>5210</v>
      </c>
      <c r="E85" s="10" t="s">
        <v>41</v>
      </c>
      <c r="F85" s="11" t="s">
        <v>67</v>
      </c>
      <c r="G85" s="1" t="s">
        <v>66</v>
      </c>
      <c r="H85" s="8" t="s">
        <v>43</v>
      </c>
      <c r="I85" s="1">
        <v>7</v>
      </c>
      <c r="J85" s="1">
        <v>15</v>
      </c>
      <c r="K85" s="21"/>
      <c r="L85" s="20">
        <v>9.8000000000000004E-2</v>
      </c>
      <c r="M85" s="10">
        <v>0.35</v>
      </c>
      <c r="N85" s="10">
        <v>1.45</v>
      </c>
      <c r="O85" s="10">
        <v>8.9999999999999993E-3</v>
      </c>
      <c r="P85" s="10">
        <v>6.0000000000000001E-3</v>
      </c>
      <c r="Q85" s="10">
        <v>9.2999999999999999E-2</v>
      </c>
      <c r="R85" s="10">
        <v>1.97</v>
      </c>
      <c r="S85" s="10">
        <v>0.83</v>
      </c>
      <c r="T85" s="10">
        <v>5.0000000000000001E-3</v>
      </c>
      <c r="U85" s="10">
        <v>8.0000000000000002E-3</v>
      </c>
      <c r="V85" s="10">
        <v>4.0000000000000001E-3</v>
      </c>
      <c r="W85" s="10">
        <v>4.0000000000000001E-3</v>
      </c>
      <c r="X85" s="10">
        <v>1.9E-2</v>
      </c>
      <c r="Y85" s="10">
        <v>2.1999999999999999E-2</v>
      </c>
      <c r="Z85" s="10">
        <v>4.0000000000000001E-3</v>
      </c>
      <c r="AA85" s="10">
        <v>1.0999999999999999E-2</v>
      </c>
      <c r="AB85" s="10" t="s">
        <v>46</v>
      </c>
      <c r="AC85" s="10">
        <v>2E-3</v>
      </c>
      <c r="AD85" s="10">
        <v>2E-3</v>
      </c>
      <c r="AE85" s="10" t="s">
        <v>47</v>
      </c>
      <c r="AF85" s="10">
        <v>2.9999999999999997E-4</v>
      </c>
      <c r="AG85" s="10">
        <v>4.0000000000000001E-3</v>
      </c>
      <c r="AH85" s="10">
        <v>5.0000000000000001E-4</v>
      </c>
      <c r="AI85" s="10">
        <v>1.1000000000000001E-3</v>
      </c>
      <c r="AJ85" s="10">
        <v>1.6E-2</v>
      </c>
      <c r="AK85" s="77">
        <v>3.0000000000000001E-3</v>
      </c>
      <c r="AL85" s="21" t="s">
        <v>90</v>
      </c>
      <c r="AM85" s="74">
        <f t="shared" si="21"/>
        <v>0.65766666666666673</v>
      </c>
      <c r="AN85" s="13">
        <f t="shared" si="22"/>
        <v>0.27783333333333332</v>
      </c>
      <c r="AO85" s="81">
        <f t="shared" si="23"/>
        <v>0.44859127234302476</v>
      </c>
      <c r="AP85" s="227">
        <f t="shared" si="24"/>
        <v>0.38084999999999997</v>
      </c>
      <c r="AQ85" s="21"/>
      <c r="AR85" s="116">
        <v>886</v>
      </c>
      <c r="AS85" s="10">
        <v>1018</v>
      </c>
      <c r="AT85" s="10">
        <v>14.3</v>
      </c>
      <c r="AU85" s="10">
        <v>27</v>
      </c>
      <c r="AV85" s="10">
        <v>33</v>
      </c>
      <c r="AW85" s="10">
        <v>53</v>
      </c>
      <c r="AX85" s="10">
        <v>74</v>
      </c>
      <c r="AY85" s="10">
        <v>89</v>
      </c>
      <c r="AZ85" s="10">
        <v>99</v>
      </c>
      <c r="BA85" s="216" t="s">
        <v>171</v>
      </c>
      <c r="BB85" s="77" t="s">
        <v>170</v>
      </c>
      <c r="BC85" s="21"/>
      <c r="BG85" s="210">
        <v>15</v>
      </c>
      <c r="BH85">
        <v>30</v>
      </c>
      <c r="BI85">
        <v>23</v>
      </c>
      <c r="BJ85">
        <v>31</v>
      </c>
      <c r="BK85">
        <v>35</v>
      </c>
      <c r="BL85" s="220">
        <f t="shared" si="16"/>
        <v>26.8</v>
      </c>
      <c r="BM85" s="210">
        <v>30</v>
      </c>
      <c r="BN85">
        <v>30</v>
      </c>
      <c r="BO85">
        <v>28</v>
      </c>
      <c r="BP85">
        <v>43</v>
      </c>
      <c r="BQ85">
        <v>36</v>
      </c>
      <c r="BR85" s="220">
        <f t="shared" si="17"/>
        <v>33.4</v>
      </c>
      <c r="BS85" s="210">
        <v>46</v>
      </c>
      <c r="BT85">
        <v>50</v>
      </c>
      <c r="BU85">
        <v>55</v>
      </c>
      <c r="BV85">
        <v>59</v>
      </c>
      <c r="BW85">
        <v>55</v>
      </c>
      <c r="BX85" s="220">
        <f t="shared" si="18"/>
        <v>53</v>
      </c>
      <c r="BY85" s="210">
        <v>71</v>
      </c>
      <c r="BZ85">
        <v>75</v>
      </c>
      <c r="CA85">
        <v>81</v>
      </c>
      <c r="CB85">
        <v>67</v>
      </c>
      <c r="CC85">
        <v>78</v>
      </c>
      <c r="CD85" s="220">
        <f t="shared" si="19"/>
        <v>74.400000000000006</v>
      </c>
      <c r="CE85" s="210">
        <v>86</v>
      </c>
      <c r="CF85">
        <v>92</v>
      </c>
      <c r="CG85">
        <v>91</v>
      </c>
      <c r="CH85">
        <v>85</v>
      </c>
      <c r="CI85">
        <v>91</v>
      </c>
      <c r="CJ85" s="220">
        <f t="shared" si="25"/>
        <v>89</v>
      </c>
      <c r="CK85" s="210">
        <v>98</v>
      </c>
      <c r="CL85">
        <v>116</v>
      </c>
      <c r="CM85">
        <v>99</v>
      </c>
      <c r="CN85">
        <v>94</v>
      </c>
      <c r="CO85">
        <v>88</v>
      </c>
      <c r="CP85" s="220">
        <f t="shared" si="20"/>
        <v>99</v>
      </c>
    </row>
    <row r="86" spans="1:94" x14ac:dyDescent="0.25">
      <c r="A86" s="210"/>
      <c r="B86" s="41"/>
      <c r="C86" s="1" t="s">
        <v>63</v>
      </c>
      <c r="D86" s="30">
        <v>5338</v>
      </c>
      <c r="E86" s="10" t="s">
        <v>42</v>
      </c>
      <c r="F86" s="11" t="s">
        <v>68</v>
      </c>
      <c r="G86" s="1" t="s">
        <v>66</v>
      </c>
      <c r="H86" s="8" t="s">
        <v>43</v>
      </c>
      <c r="I86" s="1">
        <v>8</v>
      </c>
      <c r="J86" s="1">
        <v>10</v>
      </c>
      <c r="K86" s="21"/>
      <c r="L86" s="20">
        <v>0.13</v>
      </c>
      <c r="M86" s="10">
        <v>0.33</v>
      </c>
      <c r="N86" s="10">
        <v>1.48</v>
      </c>
      <c r="O86" s="10">
        <v>8.9999999999999993E-3</v>
      </c>
      <c r="P86" s="10">
        <v>6.0000000000000001E-3</v>
      </c>
      <c r="Q86" s="10">
        <v>7.9000000000000001E-2</v>
      </c>
      <c r="R86" s="13">
        <v>1.8</v>
      </c>
      <c r="S86" s="10">
        <v>0.89</v>
      </c>
      <c r="T86" s="10">
        <v>5.0000000000000001E-3</v>
      </c>
      <c r="U86" s="10">
        <v>8.0000000000000002E-3</v>
      </c>
      <c r="V86" s="10">
        <v>1.2E-2</v>
      </c>
      <c r="W86" s="10">
        <v>8.0000000000000002E-3</v>
      </c>
      <c r="X86" s="10">
        <v>1.7999999999999999E-2</v>
      </c>
      <c r="Y86" s="10">
        <v>2.7E-2</v>
      </c>
      <c r="Z86" s="10">
        <v>4.0000000000000001E-3</v>
      </c>
      <c r="AA86" s="10">
        <v>7.0000000000000001E-3</v>
      </c>
      <c r="AB86" s="10" t="s">
        <v>46</v>
      </c>
      <c r="AC86" s="10">
        <v>2E-3</v>
      </c>
      <c r="AD86" s="10">
        <v>1E-3</v>
      </c>
      <c r="AE86" s="10" t="s">
        <v>47</v>
      </c>
      <c r="AF86" s="10">
        <v>4.0000000000000002E-4</v>
      </c>
      <c r="AG86" s="10">
        <v>4.0000000000000001E-3</v>
      </c>
      <c r="AH86" s="10">
        <v>5.0000000000000001E-4</v>
      </c>
      <c r="AI86" s="10">
        <v>1.1999999999999999E-3</v>
      </c>
      <c r="AJ86" s="14">
        <v>0.02</v>
      </c>
      <c r="AK86" s="77">
        <v>3.0000000000000001E-3</v>
      </c>
      <c r="AL86" s="21" t="s">
        <v>90</v>
      </c>
      <c r="AM86" s="74">
        <f t="shared" si="21"/>
        <v>0.69406666666666661</v>
      </c>
      <c r="AN86" s="13">
        <f t="shared" si="22"/>
        <v>0.31238333333333335</v>
      </c>
      <c r="AO86" s="81">
        <f t="shared" si="23"/>
        <v>0.56917282263005819</v>
      </c>
      <c r="AP86" s="227">
        <f t="shared" si="24"/>
        <v>0.41685</v>
      </c>
      <c r="AQ86" s="21"/>
      <c r="AR86" s="116">
        <v>1001</v>
      </c>
      <c r="AS86" s="10">
        <v>1062</v>
      </c>
      <c r="AT86" s="10">
        <v>13.4</v>
      </c>
      <c r="AU86" s="10">
        <v>23</v>
      </c>
      <c r="AV86" s="10">
        <v>27</v>
      </c>
      <c r="AW86" s="10">
        <v>41</v>
      </c>
      <c r="AX86" s="10">
        <v>54</v>
      </c>
      <c r="AY86" s="10">
        <v>68</v>
      </c>
      <c r="AZ86" s="10">
        <v>67</v>
      </c>
      <c r="BA86" s="163" t="s">
        <v>172</v>
      </c>
      <c r="BB86" s="77" t="s">
        <v>170</v>
      </c>
      <c r="BC86" s="21"/>
      <c r="BG86" s="210">
        <v>19</v>
      </c>
      <c r="BH86">
        <v>26</v>
      </c>
      <c r="BI86">
        <v>21</v>
      </c>
      <c r="BJ86">
        <v>33</v>
      </c>
      <c r="BK86">
        <v>17</v>
      </c>
      <c r="BL86" s="220">
        <f t="shared" si="16"/>
        <v>23.2</v>
      </c>
      <c r="BM86" s="210">
        <v>24</v>
      </c>
      <c r="BN86">
        <v>31</v>
      </c>
      <c r="BO86">
        <v>26</v>
      </c>
      <c r="BP86">
        <v>31</v>
      </c>
      <c r="BQ86">
        <v>24</v>
      </c>
      <c r="BR86" s="220">
        <f t="shared" si="17"/>
        <v>27.2</v>
      </c>
      <c r="BS86" s="210">
        <v>43</v>
      </c>
      <c r="BT86">
        <v>37</v>
      </c>
      <c r="BU86">
        <v>44</v>
      </c>
      <c r="BV86">
        <v>42</v>
      </c>
      <c r="BW86">
        <v>40</v>
      </c>
      <c r="BX86" s="220">
        <f t="shared" si="18"/>
        <v>41.2</v>
      </c>
      <c r="BY86" s="210">
        <v>64</v>
      </c>
      <c r="BZ86">
        <v>45</v>
      </c>
      <c r="CA86">
        <v>67</v>
      </c>
      <c r="CB86">
        <v>47</v>
      </c>
      <c r="CC86">
        <v>47</v>
      </c>
      <c r="CD86" s="220">
        <f t="shared" si="19"/>
        <v>54</v>
      </c>
      <c r="CE86" s="210">
        <v>66</v>
      </c>
      <c r="CF86">
        <v>74</v>
      </c>
      <c r="CG86">
        <v>74</v>
      </c>
      <c r="CH86">
        <v>66</v>
      </c>
      <c r="CI86">
        <v>60</v>
      </c>
      <c r="CJ86" s="220">
        <f t="shared" si="25"/>
        <v>68</v>
      </c>
      <c r="CK86" s="210">
        <v>70</v>
      </c>
      <c r="CL86">
        <v>67</v>
      </c>
      <c r="CM86">
        <v>62</v>
      </c>
      <c r="CN86">
        <v>66</v>
      </c>
      <c r="CO86">
        <v>69</v>
      </c>
      <c r="CP86" s="220">
        <f t="shared" si="20"/>
        <v>66.8</v>
      </c>
    </row>
    <row r="87" spans="1:94" ht="15.75" thickBot="1" x14ac:dyDescent="0.3">
      <c r="A87" s="226"/>
      <c r="B87" s="41"/>
      <c r="C87" s="1" t="s">
        <v>63</v>
      </c>
      <c r="D87" s="30">
        <v>5339</v>
      </c>
      <c r="E87" s="10" t="s">
        <v>42</v>
      </c>
      <c r="F87" s="11" t="s">
        <v>68</v>
      </c>
      <c r="G87" s="1" t="s">
        <v>66</v>
      </c>
      <c r="H87" s="8" t="s">
        <v>43</v>
      </c>
      <c r="I87" s="1">
        <v>7</v>
      </c>
      <c r="J87" s="1">
        <v>15</v>
      </c>
      <c r="K87" s="23"/>
      <c r="L87" s="65">
        <v>0.12</v>
      </c>
      <c r="M87" s="63">
        <v>0.34</v>
      </c>
      <c r="N87" s="63">
        <v>1.54</v>
      </c>
      <c r="O87" s="63">
        <v>8.9999999999999993E-3</v>
      </c>
      <c r="P87" s="63">
        <v>6.0000000000000001E-3</v>
      </c>
      <c r="Q87" s="63">
        <v>6.9000000000000006E-2</v>
      </c>
      <c r="R87" s="63">
        <v>1.98</v>
      </c>
      <c r="S87" s="63">
        <v>0.93</v>
      </c>
      <c r="T87" s="63">
        <v>5.0000000000000001E-3</v>
      </c>
      <c r="U87" s="63">
        <v>8.0000000000000002E-3</v>
      </c>
      <c r="V87" s="66">
        <v>0.01</v>
      </c>
      <c r="W87" s="63">
        <v>8.0000000000000002E-3</v>
      </c>
      <c r="X87" s="66">
        <v>0.02</v>
      </c>
      <c r="Y87" s="63">
        <v>2.3E-2</v>
      </c>
      <c r="Z87" s="63">
        <v>5.0000000000000001E-3</v>
      </c>
      <c r="AA87" s="63">
        <v>8.0000000000000002E-3</v>
      </c>
      <c r="AB87" s="63" t="s">
        <v>46</v>
      </c>
      <c r="AC87" s="63">
        <v>2E-3</v>
      </c>
      <c r="AD87" s="63">
        <v>1E-3</v>
      </c>
      <c r="AE87" s="63" t="s">
        <v>47</v>
      </c>
      <c r="AF87" s="63">
        <v>2.9999999999999997E-4</v>
      </c>
      <c r="AG87" s="63">
        <v>5.0000000000000001E-3</v>
      </c>
      <c r="AH87" s="63">
        <v>6.9999999999999999E-4</v>
      </c>
      <c r="AI87" s="63">
        <v>1.5E-3</v>
      </c>
      <c r="AJ87" s="63">
        <v>1.6E-2</v>
      </c>
      <c r="AK87" s="97">
        <v>3.0000000000000001E-3</v>
      </c>
      <c r="AL87" s="23" t="s">
        <v>90</v>
      </c>
      <c r="AM87" s="76">
        <f t="shared" si="21"/>
        <v>0.71179999999999999</v>
      </c>
      <c r="AN87" s="67">
        <f t="shared" si="22"/>
        <v>0.31028333333333336</v>
      </c>
      <c r="AO87" s="83">
        <f t="shared" si="23"/>
        <v>0.550925</v>
      </c>
      <c r="AP87" s="228">
        <f t="shared" si="24"/>
        <v>0.42094999999999999</v>
      </c>
      <c r="AQ87" s="23"/>
      <c r="AR87" s="166">
        <v>926</v>
      </c>
      <c r="AS87" s="63">
        <v>1092</v>
      </c>
      <c r="AT87" s="63">
        <v>13.7</v>
      </c>
      <c r="AU87" s="63">
        <v>20</v>
      </c>
      <c r="AV87" s="63">
        <v>24</v>
      </c>
      <c r="AW87" s="63">
        <v>35</v>
      </c>
      <c r="AX87" s="63">
        <v>52</v>
      </c>
      <c r="AY87" s="63">
        <v>63</v>
      </c>
      <c r="AZ87" s="63">
        <v>70</v>
      </c>
      <c r="BA87" s="63" t="s">
        <v>173</v>
      </c>
      <c r="BB87" s="97" t="s">
        <v>170</v>
      </c>
      <c r="BC87" s="23"/>
      <c r="BG87" s="226">
        <v>26</v>
      </c>
      <c r="BH87" s="78">
        <v>16</v>
      </c>
      <c r="BI87" s="78">
        <v>21</v>
      </c>
      <c r="BJ87" s="78">
        <v>19</v>
      </c>
      <c r="BK87" s="78">
        <v>18</v>
      </c>
      <c r="BL87" s="239">
        <f t="shared" si="16"/>
        <v>20</v>
      </c>
      <c r="BM87" s="226">
        <v>22</v>
      </c>
      <c r="BN87" s="78">
        <v>18</v>
      </c>
      <c r="BO87" s="78">
        <v>25</v>
      </c>
      <c r="BP87" s="78">
        <v>25</v>
      </c>
      <c r="BQ87" s="78">
        <v>29</v>
      </c>
      <c r="BR87" s="239">
        <f t="shared" si="17"/>
        <v>23.8</v>
      </c>
      <c r="BS87" s="226">
        <v>40</v>
      </c>
      <c r="BT87" s="78">
        <v>28</v>
      </c>
      <c r="BU87" s="78">
        <v>33</v>
      </c>
      <c r="BV87" s="78">
        <v>39</v>
      </c>
      <c r="BW87" s="78">
        <v>34</v>
      </c>
      <c r="BX87" s="239">
        <f t="shared" si="18"/>
        <v>34.799999999999997</v>
      </c>
      <c r="BY87" s="226">
        <v>50</v>
      </c>
      <c r="BZ87" s="78">
        <v>64</v>
      </c>
      <c r="CA87" s="78">
        <v>44</v>
      </c>
      <c r="CB87" s="78">
        <v>50</v>
      </c>
      <c r="CC87" s="78">
        <v>54</v>
      </c>
      <c r="CD87" s="239">
        <f t="shared" si="19"/>
        <v>52.4</v>
      </c>
      <c r="CE87" s="226">
        <v>60</v>
      </c>
      <c r="CF87" s="78">
        <v>68</v>
      </c>
      <c r="CG87" s="78">
        <v>65</v>
      </c>
      <c r="CH87" s="78">
        <v>58</v>
      </c>
      <c r="CI87" s="78">
        <v>63</v>
      </c>
      <c r="CJ87" s="239">
        <f t="shared" si="25"/>
        <v>62.8</v>
      </c>
      <c r="CK87" s="226">
        <v>73</v>
      </c>
      <c r="CL87" s="78">
        <v>73</v>
      </c>
      <c r="CM87" s="78">
        <v>73</v>
      </c>
      <c r="CN87" s="78">
        <v>73</v>
      </c>
      <c r="CO87" s="78">
        <v>60</v>
      </c>
      <c r="CP87" s="239">
        <f t="shared" si="20"/>
        <v>70.400000000000006</v>
      </c>
    </row>
    <row r="88" spans="1:94" ht="6.75" hidden="1" customHeight="1" x14ac:dyDescent="0.25">
      <c r="B88" s="41"/>
      <c r="K88" s="21"/>
      <c r="L88" s="59"/>
      <c r="AK88" s="46"/>
      <c r="AL88" s="21"/>
      <c r="AM88" s="158"/>
      <c r="AN88" s="121"/>
      <c r="AO88" s="159"/>
      <c r="AP88" s="160"/>
      <c r="AQ88" s="21"/>
    </row>
    <row r="89" spans="1:94" ht="15" hidden="1" customHeight="1" x14ac:dyDescent="0.25">
      <c r="B89" s="41"/>
      <c r="C89" s="1" t="s">
        <v>63</v>
      </c>
      <c r="D89" s="11">
        <v>5209</v>
      </c>
      <c r="E89" s="10" t="s">
        <v>41</v>
      </c>
      <c r="F89" s="11" t="s">
        <v>67</v>
      </c>
      <c r="G89" s="1" t="s">
        <v>66</v>
      </c>
      <c r="H89" s="8" t="s">
        <v>43</v>
      </c>
      <c r="I89" s="1">
        <v>8</v>
      </c>
      <c r="J89" s="1">
        <v>10</v>
      </c>
      <c r="K89" s="21"/>
      <c r="L89" s="20">
        <v>0.11</v>
      </c>
      <c r="M89" s="10">
        <v>0.37</v>
      </c>
      <c r="N89" s="10">
        <v>1.48</v>
      </c>
      <c r="O89" s="14">
        <v>0.01</v>
      </c>
      <c r="P89" s="14">
        <v>2E-3</v>
      </c>
      <c r="Q89" s="10">
        <v>6.2E-2</v>
      </c>
      <c r="R89" s="13">
        <v>2.31</v>
      </c>
      <c r="S89" s="10">
        <v>0.96</v>
      </c>
      <c r="T89" s="10">
        <v>5.0000000000000001E-3</v>
      </c>
      <c r="U89" s="10">
        <v>6.0000000000000001E-3</v>
      </c>
      <c r="V89" s="10">
        <v>3.0000000000000001E-3</v>
      </c>
      <c r="W89" s="10">
        <v>5.0000000000000001E-3</v>
      </c>
      <c r="X89" s="10">
        <v>2.1999999999999999E-2</v>
      </c>
      <c r="Y89" s="10">
        <v>2.3E-2</v>
      </c>
      <c r="Z89" s="10">
        <v>5.0000000000000001E-3</v>
      </c>
      <c r="AA89" s="10">
        <v>8.9999999999999993E-3</v>
      </c>
      <c r="AB89" s="10" t="s">
        <v>46</v>
      </c>
      <c r="AC89" s="10">
        <v>2E-3</v>
      </c>
      <c r="AD89" s="10">
        <v>2E-3</v>
      </c>
      <c r="AE89" s="10" t="s">
        <v>47</v>
      </c>
      <c r="AF89" s="10">
        <v>2.0000000000000001E-4</v>
      </c>
      <c r="AG89" s="10">
        <v>5.0000000000000001E-3</v>
      </c>
      <c r="AH89" s="10">
        <v>4.0000000000000002E-4</v>
      </c>
      <c r="AI89" s="10">
        <v>1.4E-3</v>
      </c>
      <c r="AK89" s="77">
        <v>3.0000000000000001E-3</v>
      </c>
      <c r="AL89" s="21" t="s">
        <v>91</v>
      </c>
      <c r="AM89" s="74">
        <f t="shared" si="21"/>
        <v>0.71713333333333329</v>
      </c>
      <c r="AN89" s="13">
        <f t="shared" si="22"/>
        <v>0.30433333333333334</v>
      </c>
      <c r="AO89" s="81">
        <f t="shared" si="23"/>
        <v>0.51991889222560506</v>
      </c>
      <c r="AP89" s="85">
        <f t="shared" si="24"/>
        <v>0.41594999999999999</v>
      </c>
      <c r="AQ89" s="21"/>
      <c r="AR89" s="214">
        <v>885</v>
      </c>
      <c r="AS89" s="214">
        <v>963</v>
      </c>
      <c r="AT89" s="214">
        <v>16</v>
      </c>
      <c r="AU89" s="214">
        <v>31</v>
      </c>
      <c r="AV89" s="214">
        <v>43</v>
      </c>
      <c r="AW89" s="214">
        <v>73</v>
      </c>
      <c r="AX89" s="214">
        <v>96</v>
      </c>
      <c r="AY89" s="214">
        <v>112</v>
      </c>
      <c r="AZ89" s="214">
        <v>102</v>
      </c>
      <c r="BA89" s="215" t="s">
        <v>169</v>
      </c>
      <c r="BB89" s="91" t="s">
        <v>170</v>
      </c>
    </row>
    <row r="90" spans="1:94" ht="15" hidden="1" customHeight="1" x14ac:dyDescent="0.25">
      <c r="B90" s="41"/>
      <c r="C90" s="1" t="s">
        <v>63</v>
      </c>
      <c r="D90" s="11">
        <v>5210</v>
      </c>
      <c r="E90" s="10" t="s">
        <v>41</v>
      </c>
      <c r="F90" s="11" t="s">
        <v>67</v>
      </c>
      <c r="G90" s="1" t="s">
        <v>66</v>
      </c>
      <c r="H90" s="8" t="s">
        <v>43</v>
      </c>
      <c r="I90" s="1">
        <v>7</v>
      </c>
      <c r="J90" s="1">
        <v>15</v>
      </c>
      <c r="K90" s="21"/>
      <c r="L90" s="20">
        <v>0.14000000000000001</v>
      </c>
      <c r="M90" s="10">
        <v>0.37</v>
      </c>
      <c r="N90" s="10">
        <v>1.48</v>
      </c>
      <c r="O90" s="14">
        <v>0.01</v>
      </c>
      <c r="P90" s="14">
        <v>1E-3</v>
      </c>
      <c r="Q90" s="10">
        <v>6.4000000000000001E-2</v>
      </c>
      <c r="R90" s="13">
        <v>2.2599999999999998</v>
      </c>
      <c r="S90" s="10">
        <v>0.95</v>
      </c>
      <c r="T90" s="10">
        <v>5.0000000000000001E-3</v>
      </c>
      <c r="U90" s="10">
        <v>7.0000000000000001E-3</v>
      </c>
      <c r="V90" s="10">
        <v>3.0000000000000001E-3</v>
      </c>
      <c r="W90" s="10">
        <v>5.0000000000000001E-3</v>
      </c>
      <c r="X90" s="10">
        <v>2.1000000000000001E-2</v>
      </c>
      <c r="Y90" s="10">
        <v>1.9E-2</v>
      </c>
      <c r="Z90" s="10">
        <v>5.0000000000000001E-3</v>
      </c>
      <c r="AA90" s="10">
        <v>8.9999999999999993E-3</v>
      </c>
      <c r="AB90" s="10" t="s">
        <v>46</v>
      </c>
      <c r="AC90" s="10">
        <v>2E-3</v>
      </c>
      <c r="AD90" s="10">
        <v>2E-3</v>
      </c>
      <c r="AE90" s="10" t="s">
        <v>47</v>
      </c>
      <c r="AF90" s="10">
        <v>2.0000000000000001E-4</v>
      </c>
      <c r="AG90" s="10">
        <v>5.0000000000000001E-3</v>
      </c>
      <c r="AH90" s="10">
        <v>5.0000000000000001E-4</v>
      </c>
      <c r="AI90" s="10">
        <v>1.4E-3</v>
      </c>
      <c r="AK90" s="77">
        <v>3.0000000000000001E-3</v>
      </c>
      <c r="AL90" s="21" t="s">
        <v>91</v>
      </c>
      <c r="AM90" s="74">
        <f t="shared" si="21"/>
        <v>0.74213333333333342</v>
      </c>
      <c r="AN90" s="13">
        <f t="shared" si="22"/>
        <v>0.33288333333333336</v>
      </c>
      <c r="AO90" s="81">
        <f t="shared" si="23"/>
        <v>0.63083900492283906</v>
      </c>
      <c r="AP90" s="85">
        <f t="shared" si="24"/>
        <v>0.44374999999999998</v>
      </c>
      <c r="AQ90" s="21"/>
      <c r="AR90" s="214">
        <v>886</v>
      </c>
      <c r="AS90" s="214">
        <v>1018</v>
      </c>
      <c r="AT90" s="214">
        <v>14.3</v>
      </c>
      <c r="AU90" s="214">
        <v>27</v>
      </c>
      <c r="AV90" s="214">
        <v>33</v>
      </c>
      <c r="AW90" s="214">
        <v>53</v>
      </c>
      <c r="AX90" s="214">
        <v>74</v>
      </c>
      <c r="AY90" s="214">
        <v>89</v>
      </c>
      <c r="AZ90" s="214">
        <v>99</v>
      </c>
      <c r="BA90" s="216" t="s">
        <v>171</v>
      </c>
      <c r="BB90" s="10" t="s">
        <v>170</v>
      </c>
    </row>
    <row r="91" spans="1:94" ht="15" hidden="1" customHeight="1" x14ac:dyDescent="0.25">
      <c r="B91" s="41"/>
      <c r="C91" s="1" t="s">
        <v>63</v>
      </c>
      <c r="D91" s="11">
        <v>5338</v>
      </c>
      <c r="E91" s="10" t="s">
        <v>42</v>
      </c>
      <c r="F91" s="11" t="s">
        <v>68</v>
      </c>
      <c r="G91" s="1" t="s">
        <v>66</v>
      </c>
      <c r="H91" s="8" t="s">
        <v>43</v>
      </c>
      <c r="I91" s="1">
        <v>8</v>
      </c>
      <c r="J91" s="1">
        <v>10</v>
      </c>
      <c r="K91" s="21"/>
      <c r="L91" s="20">
        <v>0.12</v>
      </c>
      <c r="M91" s="10">
        <v>0.37</v>
      </c>
      <c r="N91" s="10">
        <v>1.52</v>
      </c>
      <c r="O91" s="14">
        <v>0.01</v>
      </c>
      <c r="P91" s="14">
        <v>6.0000000000000001E-3</v>
      </c>
      <c r="Q91" s="10">
        <v>5.3999999999999999E-2</v>
      </c>
      <c r="R91" s="13">
        <v>2.16</v>
      </c>
      <c r="S91" s="10">
        <v>0.99</v>
      </c>
      <c r="T91" s="10">
        <v>5.0000000000000001E-3</v>
      </c>
      <c r="U91" s="10">
        <v>7.0000000000000001E-3</v>
      </c>
      <c r="V91" s="10">
        <v>7.0000000000000001E-3</v>
      </c>
      <c r="W91" s="10">
        <v>7.0000000000000001E-3</v>
      </c>
      <c r="X91" s="10">
        <v>2.1999999999999999E-2</v>
      </c>
      <c r="Y91" s="10">
        <v>2.3E-2</v>
      </c>
      <c r="Z91" s="10">
        <v>5.0000000000000001E-3</v>
      </c>
      <c r="AA91" s="10">
        <v>8.0000000000000002E-3</v>
      </c>
      <c r="AB91" s="10" t="s">
        <v>46</v>
      </c>
      <c r="AC91" s="10">
        <v>2E-3</v>
      </c>
      <c r="AD91" s="10">
        <v>2E-3</v>
      </c>
      <c r="AE91" s="10" t="s">
        <v>47</v>
      </c>
      <c r="AF91" s="10">
        <v>2.0000000000000001E-4</v>
      </c>
      <c r="AG91" s="10">
        <v>5.0000000000000001E-3</v>
      </c>
      <c r="AH91" s="10">
        <v>5.0000000000000001E-4</v>
      </c>
      <c r="AI91" s="10">
        <v>1.2999999999999999E-3</v>
      </c>
      <c r="AK91" s="77">
        <v>3.0000000000000001E-3</v>
      </c>
      <c r="AL91" s="21" t="s">
        <v>91</v>
      </c>
      <c r="AM91" s="74">
        <f t="shared" si="21"/>
        <v>0.72899999999999998</v>
      </c>
      <c r="AN91" s="13">
        <f t="shared" si="22"/>
        <v>0.3158333333333333</v>
      </c>
      <c r="AO91" s="81">
        <f t="shared" si="23"/>
        <v>0.56236249999999999</v>
      </c>
      <c r="AP91" s="85">
        <f t="shared" si="24"/>
        <v>0.42879999999999996</v>
      </c>
      <c r="AQ91" s="21"/>
      <c r="AR91" s="214">
        <v>1001</v>
      </c>
      <c r="AS91" s="214">
        <v>1062</v>
      </c>
      <c r="AT91" s="214">
        <v>13.4</v>
      </c>
      <c r="AU91" s="214">
        <v>23</v>
      </c>
      <c r="AV91" s="214">
        <v>27</v>
      </c>
      <c r="AW91" s="214">
        <v>41</v>
      </c>
      <c r="AX91" s="214">
        <v>54</v>
      </c>
      <c r="AY91" s="214">
        <v>68</v>
      </c>
      <c r="AZ91" s="214">
        <v>67</v>
      </c>
      <c r="BA91" s="163" t="s">
        <v>172</v>
      </c>
      <c r="BB91" s="10" t="s">
        <v>170</v>
      </c>
    </row>
    <row r="92" spans="1:94" ht="15.75" hidden="1" customHeight="1" thickBot="1" x14ac:dyDescent="0.3">
      <c r="B92" s="60"/>
      <c r="C92" s="61" t="s">
        <v>63</v>
      </c>
      <c r="D92" s="62">
        <v>5339</v>
      </c>
      <c r="E92" s="63" t="s">
        <v>42</v>
      </c>
      <c r="F92" s="62" t="s">
        <v>68</v>
      </c>
      <c r="G92" s="61" t="s">
        <v>66</v>
      </c>
      <c r="H92" s="64" t="s">
        <v>43</v>
      </c>
      <c r="I92" s="61">
        <v>7</v>
      </c>
      <c r="J92" s="61">
        <v>15</v>
      </c>
      <c r="K92" s="23"/>
      <c r="L92" s="65">
        <v>0.12</v>
      </c>
      <c r="M92" s="63">
        <v>0.38</v>
      </c>
      <c r="N92" s="63">
        <v>1.59</v>
      </c>
      <c r="O92" s="66">
        <v>0.01</v>
      </c>
      <c r="P92" s="66">
        <v>7.0000000000000001E-3</v>
      </c>
      <c r="Q92" s="63">
        <v>4.9000000000000002E-2</v>
      </c>
      <c r="R92" s="67">
        <v>2.34</v>
      </c>
      <c r="S92" s="63">
        <v>1.02</v>
      </c>
      <c r="T92" s="63">
        <v>5.0000000000000001E-3</v>
      </c>
      <c r="U92" s="63">
        <v>7.0000000000000001E-3</v>
      </c>
      <c r="V92" s="63">
        <v>6.0000000000000001E-3</v>
      </c>
      <c r="W92" s="63">
        <v>6.0000000000000001E-3</v>
      </c>
      <c r="X92" s="63">
        <v>2.1999999999999999E-2</v>
      </c>
      <c r="Y92" s="63">
        <v>1.9E-2</v>
      </c>
      <c r="Z92" s="63">
        <v>5.0000000000000001E-3</v>
      </c>
      <c r="AA92" s="63">
        <v>7.0000000000000001E-3</v>
      </c>
      <c r="AB92" s="63" t="s">
        <v>46</v>
      </c>
      <c r="AC92" s="63">
        <v>2E-3</v>
      </c>
      <c r="AD92" s="63">
        <v>2E-3</v>
      </c>
      <c r="AE92" s="63" t="s">
        <v>47</v>
      </c>
      <c r="AF92" s="63">
        <v>2.0000000000000001E-4</v>
      </c>
      <c r="AG92" s="63">
        <v>5.0000000000000001E-3</v>
      </c>
      <c r="AH92" s="63">
        <v>4.0000000000000002E-4</v>
      </c>
      <c r="AI92" s="63">
        <v>1.2999999999999999E-3</v>
      </c>
      <c r="AJ92" s="78"/>
      <c r="AK92" s="77">
        <v>3.0000000000000001E-3</v>
      </c>
      <c r="AL92" s="23" t="s">
        <v>91</v>
      </c>
      <c r="AM92" s="76">
        <f t="shared" si="21"/>
        <v>0.75746666666666662</v>
      </c>
      <c r="AN92" s="67">
        <f t="shared" si="22"/>
        <v>0.32431666666666664</v>
      </c>
      <c r="AO92" s="83">
        <f t="shared" si="23"/>
        <v>0.58162499999999995</v>
      </c>
      <c r="AP92" s="86">
        <f t="shared" si="24"/>
        <v>0.44305</v>
      </c>
      <c r="AQ92" s="23"/>
      <c r="AR92" s="214">
        <v>926</v>
      </c>
      <c r="AS92" s="214">
        <v>1092</v>
      </c>
      <c r="AT92" s="214">
        <v>13.7</v>
      </c>
      <c r="AU92" s="214">
        <v>20</v>
      </c>
      <c r="AV92" s="214">
        <v>24</v>
      </c>
      <c r="AW92" s="214">
        <v>35</v>
      </c>
      <c r="AX92" s="214">
        <v>52</v>
      </c>
      <c r="AY92" s="214">
        <v>63</v>
      </c>
      <c r="AZ92" s="214">
        <v>70</v>
      </c>
      <c r="BA92" s="163" t="s">
        <v>173</v>
      </c>
      <c r="BB92" s="10" t="s">
        <v>170</v>
      </c>
    </row>
    <row r="93" spans="1:94" x14ac:dyDescent="0.25">
      <c r="AM93" s="12"/>
    </row>
    <row r="94" spans="1:94" x14ac:dyDescent="0.25">
      <c r="AM94" s="12"/>
    </row>
    <row r="95" spans="1:94" x14ac:dyDescent="0.25">
      <c r="AM95" s="12"/>
    </row>
    <row r="96" spans="1:94" x14ac:dyDescent="0.25">
      <c r="AM96" s="12"/>
    </row>
    <row r="97" spans="39:39" x14ac:dyDescent="0.25">
      <c r="AM97" s="12"/>
    </row>
    <row r="98" spans="39:39" x14ac:dyDescent="0.25">
      <c r="AM98" s="12"/>
    </row>
    <row r="99" spans="39:39" x14ac:dyDescent="0.25">
      <c r="AM99" s="12"/>
    </row>
    <row r="100" spans="39:39" x14ac:dyDescent="0.25">
      <c r="AM100" s="12"/>
    </row>
    <row r="101" spans="39:39" x14ac:dyDescent="0.25">
      <c r="AM101" s="12"/>
    </row>
    <row r="102" spans="39:39" x14ac:dyDescent="0.25">
      <c r="AM102" s="12"/>
    </row>
    <row r="103" spans="39:39" x14ac:dyDescent="0.25">
      <c r="AM103" s="12"/>
    </row>
    <row r="104" spans="39:39" x14ac:dyDescent="0.25">
      <c r="AM104" s="12"/>
    </row>
    <row r="105" spans="39:39" x14ac:dyDescent="0.25">
      <c r="AM105" s="12"/>
    </row>
    <row r="106" spans="39:39" x14ac:dyDescent="0.25">
      <c r="AM106" s="12"/>
    </row>
    <row r="107" spans="39:39" x14ac:dyDescent="0.25">
      <c r="AM107" s="12"/>
    </row>
    <row r="108" spans="39:39" x14ac:dyDescent="0.25">
      <c r="AM108" s="12"/>
    </row>
  </sheetData>
  <mergeCells count="25">
    <mergeCell ref="AM3:AP3"/>
    <mergeCell ref="AL13:AL16"/>
    <mergeCell ref="AL18:AL23"/>
    <mergeCell ref="AL41:AL46"/>
    <mergeCell ref="AL48:AL53"/>
    <mergeCell ref="AL3:AL4"/>
    <mergeCell ref="B3:B4"/>
    <mergeCell ref="C3:C4"/>
    <mergeCell ref="D3:J3"/>
    <mergeCell ref="K3:K4"/>
    <mergeCell ref="L3:AK3"/>
    <mergeCell ref="BG3:CP3"/>
    <mergeCell ref="AR3:AT3"/>
    <mergeCell ref="AU3:AZ3"/>
    <mergeCell ref="BB3:BB4"/>
    <mergeCell ref="BC3:BC4"/>
    <mergeCell ref="AR52:AT52"/>
    <mergeCell ref="AR45:AT45"/>
    <mergeCell ref="CK4:CP4"/>
    <mergeCell ref="CE4:CJ4"/>
    <mergeCell ref="BY4:CD4"/>
    <mergeCell ref="BS4:BX4"/>
    <mergeCell ref="BM4:BR4"/>
    <mergeCell ref="BG4:BL4"/>
    <mergeCell ref="BC18:BC23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7" workbookViewId="0">
      <selection activeCell="D8" sqref="D8:E17"/>
    </sheetView>
  </sheetViews>
  <sheetFormatPr defaultRowHeight="15" x14ac:dyDescent="0.25"/>
  <cols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Försöksmatris</vt:lpstr>
      <vt:lpstr>Chemical analysis &amp; CE</vt:lpstr>
      <vt:lpstr>Chemical analysis, Steel &amp; AWM</vt:lpstr>
      <vt:lpstr>Chemical analysis &amp; CE, welds</vt:lpstr>
      <vt:lpstr>Chem analysis, Steel &amp; AWM, CE</vt:lpstr>
      <vt:lpstr>C-equivalents</vt:lpstr>
      <vt:lpstr>Dilution, examples</vt:lpstr>
      <vt:lpstr>Dilution, summary</vt:lpstr>
      <vt:lpstr>Mecanical properties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Alireza Moradi Ghasembadi (HV)</cp:lastModifiedBy>
  <cp:lastPrinted>2013-11-19T11:33:07Z</cp:lastPrinted>
  <dcterms:created xsi:type="dcterms:W3CDTF">2012-12-27T11:58:48Z</dcterms:created>
  <dcterms:modified xsi:type="dcterms:W3CDTF">2026-08-12T11:53:44Z</dcterms:modified>
</cp:coreProperties>
</file>